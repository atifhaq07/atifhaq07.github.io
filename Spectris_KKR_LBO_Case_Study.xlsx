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8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ources" sheetId="2" state="visible" r:id="rId4"/>
    <sheet name="Historicals" sheetId="3" state="visible" r:id="rId5"/>
    <sheet name="Assumptions" sheetId="4" state="visible" r:id="rId6"/>
    <sheet name="Model" sheetId="5" state="visible" r:id="rId7"/>
    <sheet name="LBO" sheetId="6" state="visible" r:id="rId8"/>
    <sheet name="DCF" sheetId="7" state="visible" r:id="rId9"/>
    <sheet name="Comps" sheetId="8" state="visible" r:id="rId10"/>
    <sheet name="FootballField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Source: https://stockanalysis.com/quote/lon/HLMA/financials/ratios/ (fiscal year Mar-25 column), accessed Oct 2026</t>
        </r>
      </text>
    </comment>
    <comment ref="E6" authorId="0">
      <text>
        <r>
          <rPr>
            <sz val="10"/>
            <rFont val="Arial"/>
            <family val="2"/>
          </rPr>
          <t xml:space="preserve">Source: https://stockanalysis.com/quote/lon/RSW/financials/ratios/ (fiscal year Jun-25 column), accessed Oct 2026</t>
        </r>
      </text>
    </comment>
    <comment ref="E7" authorId="0">
      <text>
        <r>
          <rPr>
            <sz val="10"/>
            <rFont val="Arial"/>
            <family val="2"/>
          </rPr>
          <t xml:space="preserve">Source: https://stockanalysis.com/quote/lon/OXIG/financials/ratios/ (fiscal year Mar-25 column), accessed Oct 2026</t>
        </r>
      </text>
    </comment>
    <comment ref="E8" authorId="0">
      <text>
        <r>
          <rPr>
            <sz val="10"/>
            <rFont val="Arial"/>
            <family val="2"/>
          </rPr>
          <t xml:space="preserve">Source: https://stockanalysis.com/quote/lon/SPX/financials/ratios/ (fiscal year Dec-24 column), accessed Oct 2026</t>
        </r>
      </text>
    </comment>
    <comment ref="E9" authorId="0">
      <text>
        <r>
          <rPr>
            <sz val="10"/>
            <rFont val="Arial"/>
            <family val="2"/>
          </rPr>
          <t xml:space="preserve">Source: https://stockanalysis.com/quote/lon/ROR/financials/ratios/ (fiscal year Dec-24 column), accessed Oct 2026</t>
        </r>
      </text>
    </comment>
    <comment ref="E10" authorId="0">
      <text>
        <r>
          <rPr>
            <sz val="10"/>
            <rFont val="Arial"/>
            <family val="2"/>
          </rPr>
          <t xml:space="preserve">Source: https://stockanalysis.com/stocks/mtd/financials/ratios/ (fiscal year Dec-24 column), accessed Oct 2026</t>
        </r>
      </text>
    </comment>
    <comment ref="E11" authorId="0">
      <text>
        <r>
          <rPr>
            <sz val="10"/>
            <rFont val="Arial"/>
            <family val="2"/>
          </rPr>
          <t xml:space="preserve">Source: https://stockanalysis.com/stocks/wat/financials/ratios/ (fiscal year Dec-24 column), accessed Oct 2026</t>
        </r>
      </text>
    </comment>
    <comment ref="E12" authorId="0">
      <text>
        <r>
          <rPr>
            <sz val="10"/>
            <rFont val="Arial"/>
            <family val="2"/>
          </rPr>
          <t xml:space="preserve">Source: https://stockanalysis.com/stocks/brkr/financials/ratios/ (fiscal year Dec-24 column), accessed Oct 2026</t>
        </r>
      </text>
    </comment>
    <comment ref="E13" authorId="0">
      <text>
        <r>
          <rPr>
            <sz val="10"/>
            <rFont val="Arial"/>
            <family val="2"/>
          </rPr>
          <t xml:space="preserve">Source: https://stockanalysis.com/stocks/ame/financials/ratios/ (fiscal year Dec-24 column), accessed Oct 2026</t>
        </r>
      </text>
    </comment>
    <comment ref="E14" authorId="0">
      <text>
        <r>
          <rPr>
            <sz val="10"/>
            <rFont val="Arial"/>
            <family val="2"/>
          </rPr>
          <t xml:space="preserve">Source: https://stockanalysis.com/stocks/keys/financials/ratios/ (fiscal year Oct-24 column), accessed Oct 2026</t>
        </r>
      </text>
    </comment>
  </commentList>
</comments>
</file>

<file path=xl/sharedStrings.xml><?xml version="1.0" encoding="utf-8"?>
<sst xmlns="http://schemas.openxmlformats.org/spreadsheetml/2006/main" count="499" uniqueCount="432">
  <si>
    <t xml:space="preserve">Did KKR overpay for Spectris?</t>
  </si>
  <si>
    <t xml:space="preserve">LBO and valuation case study of KKR's £4.8bn take-private of Spectris plc (completed 4 December 2025)</t>
  </si>
  <si>
    <t xml:space="preserve">Question</t>
  </si>
  <si>
    <t xml:space="preserve">At £41.75 per share (20.3x 2024 adjusted EBITDA), can KKR earn a typical private equity return?</t>
  </si>
  <si>
    <t xml:space="preserve">Answer (base case)</t>
  </si>
  <si>
    <t xml:space="preserve">Author</t>
  </si>
  <si>
    <t xml:space="preserve">Muhammad Atif Ul Haq</t>
  </si>
  <si>
    <t xml:space="preserve">Status</t>
  </si>
  <si>
    <t xml:space="preserve">Educational analysis based only on public information. Not investment advice. Projections are the author's assumptions, not KKR's or Spectris's plan.</t>
  </si>
  <si>
    <t xml:space="preserve">Sheet guide</t>
  </si>
  <si>
    <t xml:space="preserve">Sources</t>
  </si>
  <si>
    <t xml:space="preserve">Every hardcoded number and where it came from</t>
  </si>
  <si>
    <t xml:space="preserve">Assumptions</t>
  </si>
  <si>
    <t xml:space="preserve">All inputs in one place (blue). Change these and everything updates</t>
  </si>
  <si>
    <t xml:space="preserve">Historicals</t>
  </si>
  <si>
    <t xml:space="preserve">Spectris FY2023-FY2024 reported statements, with tie-out checks</t>
  </si>
  <si>
    <t xml:space="preserve">Model</t>
  </si>
  <si>
    <t xml:space="preserve">Integrated 3-statement model: income statement, balance sheet, cash flow (FY2025E pro forma at close to FY2030E)</t>
  </si>
  <si>
    <t xml:space="preserve">LBO</t>
  </si>
  <si>
    <t xml:space="preserve">Sources and uses, returns (IRR, MOIC), value bridge, sensitivities, 'what has to be true'</t>
  </si>
  <si>
    <t xml:space="preserve">DCF</t>
  </si>
  <si>
    <t xml:space="preserve">Standalone discounted cash flow valuation with WACC build and sensitivity</t>
  </si>
  <si>
    <t xml:space="preserve">Comps</t>
  </si>
  <si>
    <t xml:space="preserve">Trading multiples of 10 listed peers (UK and US)</t>
  </si>
  <si>
    <t xml:space="preserve">Football Field</t>
  </si>
  <si>
    <t xml:space="preserve">All valuation methods side by side against the four offers</t>
  </si>
  <si>
    <t xml:space="preserve">Colour code</t>
  </si>
  <si>
    <t xml:space="preserve">Blue text</t>
  </si>
  <si>
    <t xml:space="preserve">Hardcoded input (from a source or an assumption)</t>
  </si>
  <si>
    <t xml:space="preserve">Black text</t>
  </si>
  <si>
    <t xml:space="preserve">Formula</t>
  </si>
  <si>
    <t xml:space="preserve">Green text</t>
  </si>
  <si>
    <t xml:space="preserve">Link to another sheet</t>
  </si>
  <si>
    <t xml:space="preserve">Yellow fill</t>
  </si>
  <si>
    <t xml:space="preserve">Key assumption that drives the answer</t>
  </si>
  <si>
    <t xml:space="preserve">Every hardcoded input traces to one of these. Accessed October 2026.</t>
  </si>
  <si>
    <t xml:space="preserve">ID</t>
  </si>
  <si>
    <t xml:space="preserve">What it supports</t>
  </si>
  <si>
    <t xml:space="preserve">Link</t>
  </si>
  <si>
    <t xml:space="preserve">S1</t>
  </si>
  <si>
    <t xml:space="preserve">Spectris 2024 full year results (RNS, 28 Feb 2025): income statement, balance sheet, cash flow, adjusted operating profit reconciliation, adjusted D&amp;A</t>
  </si>
  <si>
    <t xml:space="preserve">https://www.investegate.co.uk/announcement/rns/spectris--sxs/2024-full-year-results/8756727</t>
  </si>
  <si>
    <t xml:space="preserve">S2</t>
  </si>
  <si>
    <t xml:space="preserve">Spectris 2025 half year results (RNS, 7 Aug 2025): H1 revenue, net debt £545.7m, lease liabilities £76.5m, H1 D&amp;A</t>
  </si>
  <si>
    <t xml:space="preserve">https://www.spectris.com/assets/HY25-Results_RNS-statement.pdf</t>
  </si>
  <si>
    <t xml:space="preserve">S3</t>
  </si>
  <si>
    <t xml:space="preserve">KKR Rule 2.7 announcement (2 Jul 2025): £40.00 offer; FY2024 sales £1,299m, EBITDA £239m, adjusted operating profit £203m; 19.5x / 23.0x</t>
  </si>
  <si>
    <t xml:space="preserve">https://www.spectris.com/assets/2.7-Announcement-only.pdf</t>
  </si>
  <si>
    <t xml:space="preserve">S4</t>
  </si>
  <si>
    <t xml:space="preserve">Increased KKR offer (5 Aug 2025): £41.75 (£41.47 cash + 28p dividend); equity ~£4.2bn; EV ~£4.8bn; 20.3x EBITDA; 23.9x EBIT; undisturbed £20.38 on 6 Jun 2025</t>
  </si>
  <si>
    <t xml:space="preserve">https://www.spectris.com/assets/Aurora-Increased-Cash-Offer-Announcement-5-August-2025.pdf</t>
  </si>
  <si>
    <t xml:space="preserve">S5</t>
  </si>
  <si>
    <t xml:space="preserve">Advent offers: £37.63 (23 Jun 2025, EV ~£4.4bn) and £41.00 (1 Aug 2025, 20.0x / 23.5x)</t>
  </si>
  <si>
    <t xml:space="preserve">https://www.spectris.com/assets/Increased-Offer-Announcement-dated-01-August-2025.pdf</t>
  </si>
  <si>
    <t xml:space="preserve">S6</t>
  </si>
  <si>
    <t xml:space="preserve">Update on Bidco financing: £1,500m interim term facility; revolving facility increased to £300m (5 Sep 2025)</t>
  </si>
  <si>
    <t xml:space="preserve">https://www.spectris.com/assets/Update-on-Bidco-Financing-Arrangement.pdf</t>
  </si>
  <si>
    <t xml:space="preserve">S7</t>
  </si>
  <si>
    <t xml:space="preserve">KKR equity syndication update (27 Oct 2025): co-investors up to £926,953,850 = up to 25.39% of Bidco</t>
  </si>
  <si>
    <t xml:space="preserve">https://ar.tradingview.com/news/reuters.com%2C2025-10-27%3Anewsml_RSa8405Ea%3A0-reg-kohlberg-kravis-r-spectris-plc-update-on-equity-syndication</t>
  </si>
  <si>
    <t xml:space="preserve">S8</t>
  </si>
  <si>
    <t xml:space="preserve">Rule 2.9 announcement (28 Aug 2025): 99,337,919 voting shares in issue</t>
  </si>
  <si>
    <t xml:space="preserve">https://www.investegate.co.uk/announcement/rns/spectris--sxs/rule-2-9-announcement/9076538</t>
  </si>
  <si>
    <t xml:space="preserve">S9</t>
  </si>
  <si>
    <t xml:space="preserve">Company-compiled consensus (May 2025): FY2025 adjusted operating profit £235.4m (reported by AJ Bell / Alliance News)</t>
  </si>
  <si>
    <t xml:space="preserve">https://www.ajbell.co.uk/news/articles/spectris-interim-revenue-and-outlook-affirmed-after-backing-kkr-bid</t>
  </si>
  <si>
    <t xml:space="preserve">S10</t>
  </si>
  <si>
    <t xml:space="preserve">Completion of the acquisition on 4 Dec 2025</t>
  </si>
  <si>
    <t xml:space="preserve">https://businesscloud.co.uk/news/kkr-completes-4-7bn-acquisition-of-spectris/</t>
  </si>
  <si>
    <t xml:space="preserve">S11</t>
  </si>
  <si>
    <t xml:space="preserve">Peer EV/EBITDA at each peer's fiscal year-end nearest the bid (S&amp;P Global data via stockanalysis.com), e.g. Halma</t>
  </si>
  <si>
    <t xml:space="preserve">https://stockanalysis.com/quote/lon/HLMA/financials/ratios/</t>
  </si>
  <si>
    <t xml:space="preserve">S12</t>
  </si>
  <si>
    <t xml:space="preserve">Profit Improvement Programme: &gt;£30m savings in 2025, &gt;£50m run-rate by end-2026 (H1 2025 results)</t>
  </si>
  <si>
    <t xml:space="preserve">Derived figures (not directly published) are labelled 'derived' on the sheet where they are used, with the method shown.</t>
  </si>
  <si>
    <t xml:space="preserve">Spectris historical financials (as reported)</t>
  </si>
  <si>
    <t xml:space="preserve">£m, years ended 31 December. Source S1 unless stated. Checks must show zero.</t>
  </si>
  <si>
    <t xml:space="preserve">£m</t>
  </si>
  <si>
    <t xml:space="preserve">FY2023</t>
  </si>
  <si>
    <t xml:space="preserve">FY2024</t>
  </si>
  <si>
    <t xml:space="preserve">Income statement (statutory)</t>
  </si>
  <si>
    <t xml:space="preserve">Revenue</t>
  </si>
  <si>
    <t xml:space="preserve">Cost of sales</t>
  </si>
  <si>
    <t xml:space="preserve">Gross profit</t>
  </si>
  <si>
    <t xml:space="preserve">Indirect production and engineering</t>
  </si>
  <si>
    <t xml:space="preserve">Sales and marketing</t>
  </si>
  <si>
    <t xml:space="preserve">Administrative expenses</t>
  </si>
  <si>
    <t xml:space="preserve">Statutory operating profit</t>
  </si>
  <si>
    <t xml:space="preserve">Check: reported operating profit</t>
  </si>
  <si>
    <t xml:space="preserve">Check difference (must be 0)</t>
  </si>
  <si>
    <t xml:space="preserve">Adjusted operating profit reconciliation</t>
  </si>
  <si>
    <t xml:space="preserve">Restructuring costs</t>
  </si>
  <si>
    <t xml:space="preserve">Transaction-related costs and fair value adjustments</t>
  </si>
  <si>
    <t xml:space="preserve">Spectris Foundation contribution</t>
  </si>
  <si>
    <t xml:space="preserve">Configuration and customisation costs (SaaS projects)</t>
  </si>
  <si>
    <t xml:space="preserve">Amortisation and impairment of acquired intangibles</t>
  </si>
  <si>
    <t xml:space="preserve">Adjusted operating profit (adjusted EBIT)</t>
  </si>
  <si>
    <t xml:space="preserve">Adjusted depreciation and software amortisation</t>
  </si>
  <si>
    <t xml:space="preserve">Adjusted EBITDA</t>
  </si>
  <si>
    <t xml:space="preserve">Adjusted EBITDA margin</t>
  </si>
  <si>
    <t xml:space="preserve">Check: EBITDA quoted in offer documents (S3)</t>
  </si>
  <si>
    <t xml:space="preserve">Check difference, rounded (must be 0)</t>
  </si>
  <si>
    <t xml:space="preserve">Balance sheet (31 December)</t>
  </si>
  <si>
    <t xml:space="preserve">Goodwill</t>
  </si>
  <si>
    <t xml:space="preserve">Other intangible assets</t>
  </si>
  <si>
    <t xml:space="preserve">Property, plant and equipment</t>
  </si>
  <si>
    <t xml:space="preserve">Right-of-use assets</t>
  </si>
  <si>
    <t xml:space="preserve">Other non-current assets</t>
  </si>
  <si>
    <t xml:space="preserve">Inventories</t>
  </si>
  <si>
    <t xml:space="preserve">Trade and other receivables</t>
  </si>
  <si>
    <t xml:space="preserve">Cash and cash equivalents</t>
  </si>
  <si>
    <t xml:space="preserve">Other current assets (incl. held for sale)</t>
  </si>
  <si>
    <t xml:space="preserve">Total assets</t>
  </si>
  <si>
    <t xml:space="preserve">Trade and other payables</t>
  </si>
  <si>
    <t xml:space="preserve">Borrowings</t>
  </si>
  <si>
    <t xml:space="preserve">Lease liabilities</t>
  </si>
  <si>
    <t xml:space="preserve">Other liabilities (tax, provisions, pensions, derivatives, held for sale)</t>
  </si>
  <si>
    <t xml:space="preserve">Total equity</t>
  </si>
  <si>
    <t xml:space="preserve">Total liabilities and equity</t>
  </si>
  <si>
    <t xml:space="preserve">Check: assets minus liabilities and equity (must be 0)</t>
  </si>
  <si>
    <t xml:space="preserve">Net debt (borrowings less cash, excl. leases)</t>
  </si>
  <si>
    <t xml:space="preserve">Cash flow (selected lines)</t>
  </si>
  <si>
    <t xml:space="preserve">Net cash from operating activities</t>
  </si>
  <si>
    <t xml:space="preserve">Capital expenditure (PP&amp;E and intangibles)</t>
  </si>
  <si>
    <t xml:space="preserve">Lease principal payments</t>
  </si>
  <si>
    <t xml:space="preserve">Dividends paid</t>
  </si>
  <si>
    <t xml:space="preserve">Share buybacks</t>
  </si>
  <si>
    <t xml:space="preserve">Key ratios used as assumptions</t>
  </si>
  <si>
    <t xml:space="preserve">Inventories % of revenue</t>
  </si>
  <si>
    <t xml:space="preserve">Receivables % of revenue</t>
  </si>
  <si>
    <t xml:space="preserve">Payables % of revenue</t>
  </si>
  <si>
    <t xml:space="preserve">D&amp;A % of revenue</t>
  </si>
  <si>
    <t xml:space="preserve">Capex % of revenue</t>
  </si>
  <si>
    <t xml:space="preserve">Lease principal payments % of revenue</t>
  </si>
  <si>
    <t xml:space="preserve">Adjusted EBIT margin</t>
  </si>
  <si>
    <t xml:space="preserve">Blue = input. Every input has a source ID (see Sources) or is labelled 'assumption'.</t>
  </si>
  <si>
    <t xml:space="preserve">Input</t>
  </si>
  <si>
    <t xml:space="preserve">Value</t>
  </si>
  <si>
    <t xml:space="preserve">Source / rationale</t>
  </si>
  <si>
    <t xml:space="preserve">Deal terms</t>
  </si>
  <si>
    <t xml:space="preserve">Offer price per share (£)</t>
  </si>
  <si>
    <t xml:space="preserve">S4: final KKR offer, incl. 28p interim dividend</t>
  </si>
  <si>
    <t xml:space="preserve">Of which interim dividend paid by Spectris (£)</t>
  </si>
  <si>
    <t xml:space="preserve">Fully diluted shares (m)</t>
  </si>
  <si>
    <t xml:space="preserve">Derived: the only share count (100.98m-101.10m) that reproduces all six multiples stated in S3-S5; 99.3m in issue (S8) plus share plans</t>
  </si>
  <si>
    <t xml:space="preserve">Spectris net financial debt, 30 Jun 2025 (£m)</t>
  </si>
  <si>
    <t xml:space="preserve">Spectris lease liabilities, 30 Jun 2025 (£m)</t>
  </si>
  <si>
    <t xml:space="preserve">Undisturbed share price, 6 Jun 2025 (£)</t>
  </si>
  <si>
    <t xml:space="preserve">Advent first offer (£)</t>
  </si>
  <si>
    <t xml:space="preserve">KKR first offer (£)</t>
  </si>
  <si>
    <t xml:space="preserve">Advent final offer (£)</t>
  </si>
  <si>
    <t xml:space="preserve">Financing</t>
  </si>
  <si>
    <t xml:space="preserve">Term loan (£m)</t>
  </si>
  <si>
    <t xml:space="preserve">S6: interim term facility</t>
  </si>
  <si>
    <t xml:space="preserve">Revolving facility, assumed undrawn (£m)</t>
  </si>
  <si>
    <t xml:space="preserve">Interest rate on term loan</t>
  </si>
  <si>
    <t xml:space="preserve">Assumption: pricing not public. ~3.5-4% base rates + ~3% margin, blended EUR/USD</t>
  </si>
  <si>
    <t xml:space="preserve">Mandatory amortisation (% of original loan p.a.)</t>
  </si>
  <si>
    <t xml:space="preserve">Assumption: market standard for a term loan B</t>
  </si>
  <si>
    <t xml:space="preserve">Cash sweep (% of excess cash used to repay debt)</t>
  </si>
  <si>
    <t xml:space="preserve">Assumption</t>
  </si>
  <si>
    <t xml:space="preserve">Minimum cash balance (£m)</t>
  </si>
  <si>
    <t xml:space="preserve">Assumption: Spectris held £87m at 30 Jun 2025 (S2)</t>
  </si>
  <si>
    <t xml:space="preserve">Interest rate on lease liabilities</t>
  </si>
  <si>
    <t xml:space="preserve">Transaction fees</t>
  </si>
  <si>
    <t xml:space="preserve">Stamp duty (% of cash consideration)</t>
  </si>
  <si>
    <t xml:space="preserve">UK stamp duty on share transfers (0.5%)</t>
  </si>
  <si>
    <t xml:space="preserve">Financing fees (% of term loan)</t>
  </si>
  <si>
    <t xml:space="preserve">Assumption: typical arrangement fees</t>
  </si>
  <si>
    <t xml:space="preserve">Advisory and other fees (£m)</t>
  </si>
  <si>
    <t xml:space="preserve">FY2025E build (deal closes 31 Dec 2025)</t>
  </si>
  <si>
    <t xml:space="preserve">H1 2025 revenue (£m)</t>
  </si>
  <si>
    <t xml:space="preserve">H1 2024 revenue (£m)</t>
  </si>
  <si>
    <t xml:space="preserve">H2 2025 growth vs H2 2024</t>
  </si>
  <si>
    <t xml:space="preserve">Assumption: H1 2025 grew 7.9% reported (1% like-for-like) with acquisitions; order book book-to-bill 1.02x (S2)</t>
  </si>
  <si>
    <t xml:space="preserve">FY2025E adjusted operating profit (£m)</t>
  </si>
  <si>
    <t xml:space="preserve">S9: company-compiled consensus, May 2025</t>
  </si>
  <si>
    <t xml:space="preserve">Operating assumptions by year</t>
  </si>
  <si>
    <t xml:space="preserve">FY2025E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</si>
  <si>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</si>
  <si>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</si>
  <si>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</si>
  <si>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</si>
  <si>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</si>
  <si>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Revenue growth</t>
  </si>
  <si>
    <t xml:space="preserve">Assumption: mid-single-digit market growth plus pricing</t>
  </si>
  <si>
    <t xml:space="preserve">Assumption: &gt;£50m run-rate savings by end-2026 (S12) lift margin above the 18.1% achieved in 2023</t>
  </si>
  <si>
    <t xml:space="preserve">D&amp;A incl. right-of-use depreciation (% of revenue)</t>
  </si>
  <si>
    <t xml:space="preserve">FY2024 2.8%, H1 2025 3.0% (S1, S2)</t>
  </si>
  <si>
    <t xml:space="preserve">Right-of-use depreciation = lease payments (% of revenue)</t>
  </si>
  <si>
    <t xml:space="preserve">FY2024 lease principal paid £15.2m = 1.2% of revenue (S1)</t>
  </si>
  <si>
    <t xml:space="preserve">Capex (% of revenue)</t>
  </si>
  <si>
    <t xml:space="preserve">FY2024 4.0%, H1 2025 3.3% (S1, S2)</t>
  </si>
  <si>
    <t xml:space="preserve">Inventories (% of revenue)</t>
  </si>
  <si>
    <t xml:space="preserve">Held at FY2024 level</t>
  </si>
  <si>
    <t xml:space="preserve">Receivables (% of revenue)</t>
  </si>
  <si>
    <t xml:space="preserve">Payables (% of revenue)</t>
  </si>
  <si>
    <t xml:space="preserve">Tax rate</t>
  </si>
  <si>
    <t xml:space="preserve">UK corporation tax rate (25%)</t>
  </si>
  <si>
    <t xml:space="preserve">Restructuring cash costs (£m)</t>
  </si>
  <si>
    <t xml:space="preserve">Assumption: cost of delivering the savings programme</t>
  </si>
  <si>
    <t xml:space="preserve">Exit and valuation</t>
  </si>
  <si>
    <t xml:space="preserve">Holding period (years)</t>
  </si>
  <si>
    <t xml:space="preserve">Assumption: exit at end of FY2030</t>
  </si>
  <si>
    <t xml:space="preserve">Exit multiple (x LTM adjusted EBITDA)</t>
  </si>
  <si>
    <t xml:space="preserve">Base case: exit at the entry multiple (no multiple expansion). Overwrite to test</t>
  </si>
  <si>
    <t xml:space="preserve">Risk-free rate</t>
  </si>
  <si>
    <t xml:space="preserve">Assumption: UK 10-year gilt yield, approx. mid-2025</t>
  </si>
  <si>
    <t xml:space="preserve">Equity beta</t>
  </si>
  <si>
    <t xml:space="preserve">Assumption: diversified industrial technology</t>
  </si>
  <si>
    <t xml:space="preserve">Equity risk premium</t>
  </si>
  <si>
    <t xml:space="preserve">Pre-tax cost of debt (standalone)</t>
  </si>
  <si>
    <t xml:space="preserve">Assumption: Spectris pre-deal borrowing cost</t>
  </si>
  <si>
    <t xml:space="preserve">Debt weight in capital structure (standalone)</t>
  </si>
  <si>
    <t xml:space="preserve">Assumption: close to Spectris's pre-bid net debt / EV</t>
  </si>
  <si>
    <t xml:space="preserve">Terminal growth rate</t>
  </si>
  <si>
    <t xml:space="preserve">Assumption: long-run nominal growth</t>
  </si>
  <si>
    <t xml:space="preserve">Target IRR range low (for ability-to-pay)</t>
  </si>
  <si>
    <t xml:space="preserve">Typical private equity hurdle range</t>
  </si>
  <si>
    <t xml:space="preserve">Target IRR range high</t>
  </si>
  <si>
    <t xml:space="preserve">Cross-check inputs</t>
  </si>
  <si>
    <t xml:space="preserve">Co-investor equity commitments (£m)</t>
  </si>
  <si>
    <t xml:space="preserve">Co-investors' maximum share of Bidco</t>
  </si>
  <si>
    <t xml:space="preserve">Integrated 3-statement model</t>
  </si>
  <si>
    <t xml:space="preserve">£m. FY2025E column = pro forma balance sheet on completion (31 Dec 2025). Projections FY2026E-FY2030E.</t>
  </si>
  <si>
    <t xml:space="preserve">FY2024A</t>
  </si>
  <si>
    <t xml:space="preserve">Income statement</t>
  </si>
  <si>
    <t xml:space="preserve">  growth</t>
  </si>
  <si>
    <t xml:space="preserve">Adjusted EBIT</t>
  </si>
  <si>
    <t xml:space="preserve">  margin</t>
  </si>
  <si>
    <t xml:space="preserve">D&amp;A (incl. right-of-use depreciation)</t>
  </si>
  <si>
    <t xml:space="preserve">  of which right-of-use (lease) depreciation</t>
  </si>
  <si>
    <t xml:space="preserve">Interest on term loan</t>
  </si>
  <si>
    <t xml:space="preserve">Interest on lease liabilities</t>
  </si>
  <si>
    <t xml:space="preserve">Profit before tax</t>
  </si>
  <si>
    <t xml:space="preserve">Tax</t>
  </si>
  <si>
    <t xml:space="preserve">Net income</t>
  </si>
  <si>
    <t xml:space="preserve">Balance sheet</t>
  </si>
  <si>
    <t xml:space="preserve">Cash</t>
  </si>
  <si>
    <t xml:space="preserve">PP&amp;E and software</t>
  </si>
  <si>
    <t xml:space="preserve">Leases renewed as they expire: new right-of-use assets = depreciation, so the balance stays flat</t>
  </si>
  <si>
    <t xml:space="preserve">Goodwill and acquired intangibles</t>
  </si>
  <si>
    <t xml:space="preserve">Opening goodwill = price paid above the book value of the assets bought (balancing item at close)</t>
  </si>
  <si>
    <t xml:space="preserve">Term loan</t>
  </si>
  <si>
    <t xml:space="preserve">Shareholders' equity</t>
  </si>
  <si>
    <t xml:space="preserve">Balance check: assets minus liabilities and equity (must be 0)</t>
  </si>
  <si>
    <t xml:space="preserve">Cash flow statement</t>
  </si>
  <si>
    <t xml:space="preserve">Add back: D&amp;A</t>
  </si>
  <si>
    <t xml:space="preserve">Less: increase in working capital</t>
  </si>
  <si>
    <t xml:space="preserve">Cash flow from operations</t>
  </si>
  <si>
    <t xml:space="preserve">Capital expenditure</t>
  </si>
  <si>
    <t xml:space="preserve">Cash flow from investing</t>
  </si>
  <si>
    <t xml:space="preserve">Lease payments (principal)</t>
  </si>
  <si>
    <t xml:space="preserve">Free cash flow available for debt repayment</t>
  </si>
  <si>
    <t xml:space="preserve">Mandatory debt repayment</t>
  </si>
  <si>
    <t xml:space="preserve">Cash sweep (optional repayment)</t>
  </si>
  <si>
    <t xml:space="preserve">Net change in cash</t>
  </si>
  <si>
    <t xml:space="preserve">Credit statistics</t>
  </si>
  <si>
    <t xml:space="preserve">Net debt (term loan less cash)</t>
  </si>
  <si>
    <t xml:space="preserve">Net debt / adjusted EBITDA</t>
  </si>
  <si>
    <t xml:space="preserve">Adjusted EBITDA / term loan interest</t>
  </si>
  <si>
    <t xml:space="preserve">Cumulative debt repaid (£m)</t>
  </si>
  <si>
    <t xml:space="preserve">LBO: sources and uses, returns, value bridge</t>
  </si>
  <si>
    <t xml:space="preserve">£m unless stated. Entry 31 Dec 2025, exit 31 Dec 2030.</t>
  </si>
  <si>
    <t xml:space="preserve">Uses of funds</t>
  </si>
  <si>
    <t xml:space="preserve">Purchase of equity (offer price x diluted shares)</t>
  </si>
  <si>
    <t xml:space="preserve">Refinance Spectris net financial debt</t>
  </si>
  <si>
    <t xml:space="preserve">  Stamp duty</t>
  </si>
  <si>
    <t xml:space="preserve">  Financing fees</t>
  </si>
  <si>
    <t xml:space="preserve">  Advisory and other fees</t>
  </si>
  <si>
    <t xml:space="preserve">Total transaction fees</t>
  </si>
  <si>
    <t xml:space="preserve">Cash left on balance sheet</t>
  </si>
  <si>
    <t xml:space="preserve">Total uses</t>
  </si>
  <si>
    <t xml:space="preserve">Sources of funds</t>
  </si>
  <si>
    <t xml:space="preserve">Revolving facility (undrawn at close)</t>
  </si>
  <si>
    <t xml:space="preserve">Sponsor equity (KKR and co-investors)</t>
  </si>
  <si>
    <t xml:space="preserve">Total sources</t>
  </si>
  <si>
    <t xml:space="preserve">Check: sources minus uses (must be 0)</t>
  </si>
  <si>
    <t xml:space="preserve">Cross-check: total equity implied by syndication disclosure</t>
  </si>
  <si>
    <t xml:space="preserve">Derived: co-investors put in up to £927m for up to 25.39% (S7)</t>
  </si>
  <si>
    <t xml:space="preserve">  Our equity estimate vs disclosure-implied</t>
  </si>
  <si>
    <t xml:space="preserve">Entry valuation</t>
  </si>
  <si>
    <t xml:space="preserve">Equity value at offer</t>
  </si>
  <si>
    <t xml:space="preserve">Plus net financial debt</t>
  </si>
  <si>
    <t xml:space="preserve">Plus lease liabilities</t>
  </si>
  <si>
    <t xml:space="preserve">Enterprise value (EV)</t>
  </si>
  <si>
    <t xml:space="preserve">EV / FY2024A adjusted EBITDA (offer documents say 20.3x)</t>
  </si>
  <si>
    <t xml:space="preserve">EV / FY2024A adjusted EBIT (offer documents say 23.9x)</t>
  </si>
  <si>
    <t xml:space="preserve">Entry multiple: EV / FY2025E adjusted EBITDA (LTM at close)</t>
  </si>
  <si>
    <t xml:space="preserve">Opening net debt / FY2025E EBITDA (leverage)</t>
  </si>
  <si>
    <t xml:space="preserve">Returns at exit (end FY2030)</t>
  </si>
  <si>
    <t xml:space="preserve">FY2030E adjusted EBITDA</t>
  </si>
  <si>
    <t xml:space="preserve">Exit multiple</t>
  </si>
  <si>
    <t xml:space="preserve">Exit enterprise value</t>
  </si>
  <si>
    <t xml:space="preserve">Less: net debt and lease liabilities at exit</t>
  </si>
  <si>
    <t xml:space="preserve">Exit equity value</t>
  </si>
  <si>
    <t xml:space="preserve">Money multiple (MOIC)</t>
  </si>
  <si>
    <t xml:space="preserve">IRR (no interim dividends)</t>
  </si>
  <si>
    <t xml:space="preserve">Value bridge: where the equity gain comes from</t>
  </si>
  <si>
    <t xml:space="preserve">EBITDA growth (EBITDA increase x entry multiple)</t>
  </si>
  <si>
    <t xml:space="preserve">Share of gross value created -&gt;</t>
  </si>
  <si>
    <t xml:space="preserve">Multiple expansion (multiple change x exit EBITDA)</t>
  </si>
  <si>
    <t xml:space="preserve">Debt paydown (fall in net debt)</t>
  </si>
  <si>
    <t xml:space="preserve">Less: transaction fees</t>
  </si>
  <si>
    <t xml:space="preserve">Total equity gain</t>
  </si>
  <si>
    <t xml:space="preserve">Check: exit equity minus equity invested (must equal total)</t>
  </si>
  <si>
    <t xml:space="preserve">Sensitivity: IRR by offer price and exit multiple</t>
  </si>
  <si>
    <t xml:space="preserve">Offer price (£) down, exit multiple across</t>
  </si>
  <si>
    <t xml:space="preserve">Advent first offer</t>
  </si>
  <si>
    <t xml:space="preserve">KKR first offer</t>
  </si>
  <si>
    <t xml:space="preserve">Advent final offer</t>
  </si>
  <si>
    <t xml:space="preserve">KKR final offer (paid)</t>
  </si>
  <si>
    <t xml:space="preserve">What has to be true for a 20% IRR?</t>
  </si>
  <si>
    <t xml:space="preserve">Exit equity needed for target IRR</t>
  </si>
  <si>
    <t xml:space="preserve">Exit multiple needed (at our FY2030E EBITDA)</t>
  </si>
  <si>
    <t xml:space="preserve">FY2030E EBITDA needed (at the entry multiple)</t>
  </si>
  <si>
    <t xml:space="preserve">  as a multiple of our FY2030E EBITDA</t>
  </si>
  <si>
    <t xml:space="preserve">Bidding war: extra price paid vs Advent's first offer (£m)</t>
  </si>
  <si>
    <t xml:space="preserve">Bidding war: IRR given up (percentage points)</t>
  </si>
  <si>
    <t xml:space="preserve">Ability to pay: maximum EV for a target IRR (exit at entry multiple)</t>
  </si>
  <si>
    <t xml:space="preserve">Target IRR</t>
  </si>
  <si>
    <t xml:space="preserve">Maximum equity cheque</t>
  </si>
  <si>
    <t xml:space="preserve">Maximum enterprise value</t>
  </si>
  <si>
    <t xml:space="preserve">Fees held at base-case level (small simplification)</t>
  </si>
  <si>
    <t xml:space="preserve">Implied price per share (£)</t>
  </si>
  <si>
    <t xml:space="preserve">Standalone DCF (Spectris as an independent listed company)</t>
  </si>
  <si>
    <t xml:space="preserve">£m. Valuation date 31 Dec 2025. Leases treated as an operating cost (rent), then lease liabilities added back so EV is comparable with the offer EV.</t>
  </si>
  <si>
    <t xml:space="preserve">Cost of capital (WACC)</t>
  </si>
  <si>
    <t xml:space="preserve">Cost of equity = risk-free + beta x equity risk premium</t>
  </si>
  <si>
    <t xml:space="preserve">After-tax cost of debt</t>
  </si>
  <si>
    <t xml:space="preserve">WACC</t>
  </si>
  <si>
    <t xml:space="preserve">Terminal growth</t>
  </si>
  <si>
    <t xml:space="preserve">Less: lease interest (rent treated as a cost)</t>
  </si>
  <si>
    <t xml:space="preserve">Less: restructuring costs</t>
  </si>
  <si>
    <t xml:space="preserve">Less: tax on operating profit</t>
  </si>
  <si>
    <t xml:space="preserve">NOPAT</t>
  </si>
  <si>
    <t xml:space="preserve">Add: D&amp;A excl. right-of-use (lease) depreciation</t>
  </si>
  <si>
    <t xml:space="preserve">Less: capex</t>
  </si>
  <si>
    <t xml:space="preserve">Unlevered free cash flow</t>
  </si>
  <si>
    <t xml:space="preserve">Discount period (years)</t>
  </si>
  <si>
    <t xml:space="preserve">Discount factor</t>
  </si>
  <si>
    <t xml:space="preserve">Present value</t>
  </si>
  <si>
    <t xml:space="preserve">Sum of PV of cash flows</t>
  </si>
  <si>
    <t xml:space="preserve">Terminal value (Gordon growth)</t>
  </si>
  <si>
    <t xml:space="preserve">PV of terminal value</t>
  </si>
  <si>
    <t xml:space="preserve">Enterprise value (leases as rent)</t>
  </si>
  <si>
    <t xml:space="preserve">Add: lease liabilities (comparable with offer EV)</t>
  </si>
  <si>
    <t xml:space="preserve">DCF enterprise value</t>
  </si>
  <si>
    <t xml:space="preserve">Terminal value as % of value</t>
  </si>
  <si>
    <t xml:space="preserve">Implied EV / FY2025E EBITDA</t>
  </si>
  <si>
    <t xml:space="preserve">Implied value per share (£)</t>
  </si>
  <si>
    <t xml:space="preserve">Offer EV / DCF EV</t>
  </si>
  <si>
    <t xml:space="preserve">Sensitivity: DCF enterprise value (£m) by WACC and terminal growth</t>
  </si>
  <si>
    <t xml:space="preserve">WACC down, terminal growth across</t>
  </si>
  <si>
    <t xml:space="preserve">Trading comparables</t>
  </si>
  <si>
    <t xml:space="preserve">EV / EBITDA at each peer's fiscal year-end nearest the June 2025 bid (S11). Multiples are currency-neutral.</t>
  </si>
  <si>
    <t xml:space="preserve">Company</t>
  </si>
  <si>
    <t xml:space="preserve">Ticker</t>
  </si>
  <si>
    <t xml:space="preserve">Market</t>
  </si>
  <si>
    <t xml:space="preserve">Year end</t>
  </si>
  <si>
    <t xml:space="preserve">EV/EBITDA</t>
  </si>
  <si>
    <t xml:space="preserve">Why it is a peer</t>
  </si>
  <si>
    <t xml:space="preserve">Halma</t>
  </si>
  <si>
    <t xml:space="preserve">HLMA</t>
  </si>
  <si>
    <t xml:space="preserve">UK</t>
  </si>
  <si>
    <t xml:space="preserve">Mar-25</t>
  </si>
  <si>
    <t xml:space="preserve">UK safety, environmental and health technology</t>
  </si>
  <si>
    <t xml:space="preserve">Renishaw</t>
  </si>
  <si>
    <t xml:space="preserve">RSW</t>
  </si>
  <si>
    <t xml:space="preserve">Jun-25</t>
  </si>
  <si>
    <t xml:space="preserve">UK precision metrology, closest UK peer to Spectris Dynamics</t>
  </si>
  <si>
    <t xml:space="preserve">Oxford Instruments</t>
  </si>
  <si>
    <t xml:space="preserve">OXIG</t>
  </si>
  <si>
    <t xml:space="preserve">UK scientific instruments, closest UK peer to Malvern Panalytical</t>
  </si>
  <si>
    <t xml:space="preserve">Spirax Group</t>
  </si>
  <si>
    <t xml:space="preserve">SPX</t>
  </si>
  <si>
    <t xml:space="preserve">Dec-24</t>
  </si>
  <si>
    <t xml:space="preserve">UK industrial engineering, high-margin niche</t>
  </si>
  <si>
    <t xml:space="preserve">Rotork</t>
  </si>
  <si>
    <t xml:space="preserve">ROR</t>
  </si>
  <si>
    <t xml:space="preserve">UK flow control instruments</t>
  </si>
  <si>
    <t xml:space="preserve">Mettler-Toledo</t>
  </si>
  <si>
    <t xml:space="preserve">MTD</t>
  </si>
  <si>
    <t xml:space="preserve">US</t>
  </si>
  <si>
    <t xml:space="preserve">Precision instruments and lab analysis</t>
  </si>
  <si>
    <t xml:space="preserve">Waters</t>
  </si>
  <si>
    <t xml:space="preserve">WAT</t>
  </si>
  <si>
    <t xml:space="preserve">Analytical instruments (materials and life science)</t>
  </si>
  <si>
    <t xml:space="preserve">Bruker</t>
  </si>
  <si>
    <t xml:space="preserve">BRKR</t>
  </si>
  <si>
    <t xml:space="preserve">Scientific instruments, closest US peer to Spectris Scientific</t>
  </si>
  <si>
    <t xml:space="preserve">AMETEK</t>
  </si>
  <si>
    <t xml:space="preserve">AME</t>
  </si>
  <si>
    <t xml:space="preserve">Electronic instruments, test and measurement</t>
  </si>
  <si>
    <t xml:space="preserve">Keysight</t>
  </si>
  <si>
    <t xml:space="preserve">KEYS</t>
  </si>
  <si>
    <t xml:space="preserve">Oct-24</t>
  </si>
  <si>
    <t xml:space="preserve">Test and measurement, peer to Spectris Dynamics</t>
  </si>
  <si>
    <t xml:space="preserve">Summary</t>
  </si>
  <si>
    <t xml:space="preserve">25th pct</t>
  </si>
  <si>
    <t xml:space="preserve">Median</t>
  </si>
  <si>
    <t xml:space="preserve">75th pct</t>
  </si>
  <si>
    <t xml:space="preserve">Implied EV at median (£m)</t>
  </si>
  <si>
    <t xml:space="preserve">UK peers</t>
  </si>
  <si>
    <t xml:space="preserve">US peers</t>
  </si>
  <si>
    <t xml:space="preserve">All peers</t>
  </si>
  <si>
    <t xml:space="preserve">Spectris undisturbed (6 Jun 2025)</t>
  </si>
  <si>
    <t xml:space="preserve">Spectris EV at the undisturbed price / FY2024A adjusted EBITDA</t>
  </si>
  <si>
    <t xml:space="preserve">KKR final offer</t>
  </si>
  <si>
    <t xml:space="preserve">Offer EV / FY2024A adjusted EBITDA</t>
  </si>
  <si>
    <t xml:space="preserve">Caveat: peer EBITDA is the data provider's standardised figure, not each company's 'adjusted' EBITDA, and year-ends differ by up to 8 months. Treat as indicative ranges.</t>
  </si>
  <si>
    <t xml:space="preserve">Football field: Spectris enterprise value by method (£m)</t>
  </si>
  <si>
    <t xml:space="preserve">Low and high ends of each range. Offers converted to EV with the same bridge used in the offer documents.</t>
  </si>
  <si>
    <t xml:space="preserve">Method</t>
  </si>
  <si>
    <t xml:space="preserve">Low</t>
  </si>
  <si>
    <t xml:space="preserve">High</t>
  </si>
  <si>
    <t xml:space="preserve">Per share low-high</t>
  </si>
  <si>
    <t xml:space="preserve">Basis</t>
  </si>
  <si>
    <t xml:space="preserve">Undisturbed market value (6 Jun 2025)</t>
  </si>
  <si>
    <t xml:space="preserve">Share price £20.38 before any bid was public</t>
  </si>
  <si>
    <t xml:space="preserve">DCF (WACC +/-1%, growth 2-3%)</t>
  </si>
  <si>
    <t xml:space="preserve">Standalone cash flows under our base case</t>
  </si>
  <si>
    <t xml:space="preserve">UK peer multiples (25th-75th pct)</t>
  </si>
  <si>
    <t xml:space="preserve">x FY2024A adjusted EBITDA</t>
  </si>
  <si>
    <t xml:space="preserve">LBO ability to pay (20%-15% IRR)</t>
  </si>
  <si>
    <t xml:space="preserve">Max price a buyer could pay and still earn 15-20%</t>
  </si>
  <si>
    <t xml:space="preserve">US peer multiples (25th-75th pct)</t>
  </si>
  <si>
    <t xml:space="preserve">Offers (enterprise value)</t>
  </si>
  <si>
    <t xml:space="preserve">Advent first offer, £37.63 (23 Jun)</t>
  </si>
  <si>
    <t xml:space="preserve">KKR first offer, £40.00 (2 Jul)</t>
  </si>
  <si>
    <t xml:space="preserve">Advent final offer, £41.00 (1 Aug)</t>
  </si>
  <si>
    <t xml:space="preserve">KKR final offer, £41.75 (5 Aug) - paid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</si>
</sst>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;\(#,##0.0\);\-"/>
    <numFmt numFmtId="166" formatCode="0.0%;\(0.0%\);\-"/>
    <numFmt numFmtId="167" formatCode="\£0.00"/>
    <numFmt numFmtId="168" formatCode="0.0"/>
    <numFmt numFmtId="169" formatCode="#,##0;\(#,##0\);\-"/>
    <numFmt numFmtId="170" formatCode="0"/>
    <numFmt numFmtId="171" formatCode="0.0\x"/>
    <numFmt numFmtId="172" formatCode="0.00"/>
    <numFmt numFmtId="173" formatCode="0.00\x"/>
    <numFmt numFmtId="174" formatCode="0.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investegate.co.uk/announcement/rns/spectris--sxs/2024-full-year-results/8756727" TargetMode="External"/><Relationship Id="rId2" Type="http://schemas.openxmlformats.org/officeDocument/2006/relationships/hyperlink" Target="https://www.spectris.com/assets/HY25-Results_RNS-statement.pdf" TargetMode="External"/><Relationship Id="rId3" Type="http://schemas.openxmlformats.org/officeDocument/2006/relationships/hyperlink" Target="https://www.spectris.com/assets/2.7-Announcement-only.pdf" TargetMode="External"/><Relationship Id="rId4" Type="http://schemas.openxmlformats.org/officeDocument/2006/relationships/hyperlink" Target="https://www.spectris.com/assets/Aurora-Increased-Cash-Offer-Announcement-5-August-2025.pdf" TargetMode="External"/><Relationship Id="rId5" Type="http://schemas.openxmlformats.org/officeDocument/2006/relationships/hyperlink" Target="https://www.spectris.com/assets/Increased-Offer-Announcement-dated-01-August-2025.pdf" TargetMode="External"/><Relationship Id="rId6" Type="http://schemas.openxmlformats.org/officeDocument/2006/relationships/hyperlink" Target="https://www.spectris.com/assets/Update-on-Bidco-Financing-Arrangement.pdf" TargetMode="External"/><Relationship Id="rId7" Type="http://schemas.openxmlformats.org/officeDocument/2006/relationships/hyperlink" Target="https://ar.tradingview.com/news/reuters.com%2C2025-10-27%3Anewsml_RSa8405Ea%3A0-reg-kohlberg-kravis-r-spectris-plc-update-on-equity-syndication" TargetMode="External"/><Relationship Id="rId8" Type="http://schemas.openxmlformats.org/officeDocument/2006/relationships/hyperlink" Target="https://www.investegate.co.uk/announcement/rns/spectris--sxs/rule-2-9-announcement/9076538" TargetMode="External"/><Relationship Id="rId9" Type="http://schemas.openxmlformats.org/officeDocument/2006/relationships/hyperlink" Target="https://www.ajbell.co.uk/news/articles/spectris-interim-revenue-and-outlook-affirmed-after-backing-kkr-bid" TargetMode="External"/><Relationship Id="rId10" Type="http://schemas.openxmlformats.org/officeDocument/2006/relationships/hyperlink" Target="https://businesscloud.co.uk/news/kkr-completes-4-7bn-acquisition-of-spectris/" TargetMode="External"/><Relationship Id="rId11" Type="http://schemas.openxmlformats.org/officeDocument/2006/relationships/hyperlink" Target="https://stockanalysis.com/quote/lon/HLMA/financials/ratios/" TargetMode="External"/><Relationship Id="rId12" Type="http://schemas.openxmlformats.org/officeDocument/2006/relationships/hyperlink" Target="https://www.spectris.com/assets/HY25-Results_RNS-statement.pdf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2</v>
      </c>
      <c r="B4" s="5" t="s">
        <v>3</v>
      </c>
    </row>
    <row r="5" customFormat="false" ht="30" hidden="false" customHeight="true" outlineLevel="0" collapsed="false">
      <c r="A5" s="4" t="s">
        <v>4</v>
      </c>
      <c r="B5" s="5" t="str">
        <f aca="false">"About "&amp;TEXT(LBO!C40,"0.0%")&amp;" IRR and "&amp;TEXT(LBO!C39,"0.00")&amp;"x money over 5 years, below a typical ~20% target. Hitting 20% needs a "&amp;TEXT(LBO!C59,"0.0")&amp;"x exit multiple, or ~"&amp;TEXT(LBO!C61-1,"0%")&amp;" more 2030 EBITDA than our plan."</f>
        <v>About 11.5% IRR and 1.72x money over 5 years, below a typical ~20% target. Hitting 20% needs a 24.4x exit multiple, or ~39% more 2030 EBITDA than our plan.</v>
      </c>
    </row>
    <row r="6" customFormat="false" ht="15" hidden="false" customHeight="false" outlineLevel="0" collapsed="false">
      <c r="A6" s="6" t="s">
        <v>5</v>
      </c>
      <c r="B6" s="5" t="s">
        <v>6</v>
      </c>
    </row>
    <row r="7" customFormat="false" ht="30" hidden="false" customHeight="true" outlineLevel="0" collapsed="false">
      <c r="A7" s="6" t="s">
        <v>7</v>
      </c>
      <c r="B7" s="5" t="s">
        <v>8</v>
      </c>
    </row>
    <row r="8" customFormat="false" ht="15" hidden="false" customHeight="false" outlineLevel="0" collapsed="false">
      <c r="A8" s="6"/>
      <c r="B8" s="5"/>
    </row>
    <row r="9" customFormat="false" ht="15" hidden="false" customHeight="false" outlineLevel="0" collapsed="false">
      <c r="A9" s="4" t="s">
        <v>9</v>
      </c>
      <c r="B9" s="5"/>
    </row>
    <row r="10" customFormat="false" ht="15" hidden="false" customHeight="false" outlineLevel="0" collapsed="false">
      <c r="A10" s="6" t="s">
        <v>10</v>
      </c>
      <c r="B10" s="5" t="s">
        <v>11</v>
      </c>
    </row>
    <row r="11" customFormat="false" ht="15" hidden="false" customHeight="false" outlineLevel="0" collapsed="false">
      <c r="A11" s="6" t="s">
        <v>12</v>
      </c>
      <c r="B11" s="5" t="s">
        <v>13</v>
      </c>
    </row>
    <row r="12" customFormat="false" ht="15" hidden="false" customHeight="false" outlineLevel="0" collapsed="false">
      <c r="A12" s="6" t="s">
        <v>14</v>
      </c>
      <c r="B12" s="5" t="s">
        <v>15</v>
      </c>
    </row>
    <row r="13" customFormat="false" ht="15" hidden="false" customHeight="false" outlineLevel="0" collapsed="false">
      <c r="A13" s="6" t="s">
        <v>16</v>
      </c>
      <c r="B13" s="5" t="s">
        <v>17</v>
      </c>
    </row>
    <row r="14" customFormat="false" ht="15" hidden="false" customHeight="false" outlineLevel="0" collapsed="false">
      <c r="A14" s="6" t="s">
        <v>18</v>
      </c>
      <c r="B14" s="5" t="s">
        <v>19</v>
      </c>
    </row>
    <row r="15" customFormat="false" ht="15" hidden="false" customHeight="false" outlineLevel="0" collapsed="false">
      <c r="A15" s="6" t="s">
        <v>20</v>
      </c>
      <c r="B15" s="5" t="s">
        <v>21</v>
      </c>
    </row>
    <row r="16" customFormat="false" ht="15" hidden="false" customHeight="false" outlineLevel="0" collapsed="false">
      <c r="A16" s="6" t="s">
        <v>22</v>
      </c>
      <c r="B16" s="5" t="s">
        <v>23</v>
      </c>
    </row>
    <row r="17" customFormat="false" ht="15" hidden="false" customHeight="false" outlineLevel="0" collapsed="false">
      <c r="A17" s="6" t="s">
        <v>24</v>
      </c>
      <c r="B17" s="5" t="s">
        <v>25</v>
      </c>
    </row>
    <row r="18" customFormat="false" ht="15" hidden="false" customHeight="false" outlineLevel="0" collapsed="false">
      <c r="A18" s="6"/>
      <c r="B18" s="5"/>
    </row>
    <row r="19" customFormat="false" ht="15" hidden="false" customHeight="false" outlineLevel="0" collapsed="false">
      <c r="A19" s="4" t="s">
        <v>26</v>
      </c>
      <c r="B19" s="5"/>
    </row>
    <row r="20" customFormat="false" ht="15" hidden="false" customHeight="false" outlineLevel="0" collapsed="false">
      <c r="A20" s="7" t="s">
        <v>27</v>
      </c>
      <c r="B20" s="5" t="s">
        <v>28</v>
      </c>
    </row>
    <row r="21" customFormat="false" ht="15" hidden="false" customHeight="false" outlineLevel="0" collapsed="false">
      <c r="A21" s="6" t="s">
        <v>29</v>
      </c>
      <c r="B21" s="5" t="s">
        <v>30</v>
      </c>
    </row>
    <row r="22" customFormat="false" ht="15" hidden="false" customHeight="false" outlineLevel="0" collapsed="false">
      <c r="A22" s="8" t="s">
        <v>31</v>
      </c>
      <c r="B22" s="5" t="s">
        <v>32</v>
      </c>
    </row>
    <row r="23" customFormat="false" ht="15" hidden="false" customHeight="false" outlineLevel="0" collapsed="false">
      <c r="A23" s="9" t="s">
        <v>33</v>
      </c>
      <c r="B23" s="5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0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10</v>
      </c>
      <c r="B1" s="2"/>
      <c r="C1" s="2"/>
    </row>
    <row r="2" customFormat="false" ht="15" hidden="false" customHeight="false" outlineLevel="0" collapsed="false">
      <c r="A2" s="3" t="s">
        <v>35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10" t="s">
        <v>36</v>
      </c>
      <c r="B4" s="10" t="s">
        <v>37</v>
      </c>
      <c r="C4" s="10" t="s">
        <v>38</v>
      </c>
    </row>
    <row r="5" customFormat="false" ht="27.75" hidden="false" customHeight="true" outlineLevel="0" collapsed="false">
      <c r="A5" s="4" t="s">
        <v>39</v>
      </c>
      <c r="B5" s="5" t="s">
        <v>40</v>
      </c>
      <c r="C5" s="6" t="s">
        <v>41</v>
      </c>
    </row>
    <row r="6" customFormat="false" ht="27.75" hidden="false" customHeight="true" outlineLevel="0" collapsed="false">
      <c r="A6" s="4" t="s">
        <v>42</v>
      </c>
      <c r="B6" s="5" t="s">
        <v>43</v>
      </c>
      <c r="C6" s="6" t="s">
        <v>44</v>
      </c>
    </row>
    <row r="7" customFormat="false" ht="27.75" hidden="false" customHeight="true" outlineLevel="0" collapsed="false">
      <c r="A7" s="4" t="s">
        <v>45</v>
      </c>
      <c r="B7" s="5" t="s">
        <v>46</v>
      </c>
      <c r="C7" s="6" t="s">
        <v>47</v>
      </c>
    </row>
    <row r="8" customFormat="false" ht="27.75" hidden="false" customHeight="true" outlineLevel="0" collapsed="false">
      <c r="A8" s="4" t="s">
        <v>48</v>
      </c>
      <c r="B8" s="5" t="s">
        <v>49</v>
      </c>
      <c r="C8" s="6" t="s">
        <v>50</v>
      </c>
    </row>
    <row r="9" customFormat="false" ht="27.75" hidden="false" customHeight="true" outlineLevel="0" collapsed="false">
      <c r="A9" s="4" t="s">
        <v>51</v>
      </c>
      <c r="B9" s="5" t="s">
        <v>52</v>
      </c>
      <c r="C9" s="6" t="s">
        <v>53</v>
      </c>
    </row>
    <row r="10" customFormat="false" ht="27.75" hidden="false" customHeight="true" outlineLevel="0" collapsed="false">
      <c r="A10" s="4" t="s">
        <v>54</v>
      </c>
      <c r="B10" s="5" t="s">
        <v>55</v>
      </c>
      <c r="C10" s="6" t="s">
        <v>56</v>
      </c>
    </row>
    <row r="11" customFormat="false" ht="27.75" hidden="false" customHeight="true" outlineLevel="0" collapsed="false">
      <c r="A11" s="4" t="s">
        <v>57</v>
      </c>
      <c r="B11" s="5" t="s">
        <v>58</v>
      </c>
      <c r="C11" s="6" t="s">
        <v>59</v>
      </c>
    </row>
    <row r="12" customFormat="false" ht="27.75" hidden="false" customHeight="true" outlineLevel="0" collapsed="false">
      <c r="A12" s="4" t="s">
        <v>60</v>
      </c>
      <c r="B12" s="5" t="s">
        <v>61</v>
      </c>
      <c r="C12" s="6" t="s">
        <v>62</v>
      </c>
    </row>
    <row r="13" customFormat="false" ht="27.75" hidden="false" customHeight="true" outlineLevel="0" collapsed="false">
      <c r="A13" s="4" t="s">
        <v>63</v>
      </c>
      <c r="B13" s="5" t="s">
        <v>64</v>
      </c>
      <c r="C13" s="6" t="s">
        <v>65</v>
      </c>
    </row>
    <row r="14" customFormat="false" ht="27.75" hidden="false" customHeight="true" outlineLevel="0" collapsed="false">
      <c r="A14" s="4" t="s">
        <v>66</v>
      </c>
      <c r="B14" s="5" t="s">
        <v>67</v>
      </c>
      <c r="C14" s="6" t="s">
        <v>68</v>
      </c>
    </row>
    <row r="15" customFormat="false" ht="27.75" hidden="false" customHeight="true" outlineLevel="0" collapsed="false">
      <c r="A15" s="4" t="s">
        <v>69</v>
      </c>
      <c r="B15" s="5" t="s">
        <v>70</v>
      </c>
      <c r="C15" s="6" t="s">
        <v>71</v>
      </c>
    </row>
    <row r="16" customFormat="false" ht="27.75" hidden="false" customHeight="true" outlineLevel="0" collapsed="false">
      <c r="A16" s="4" t="s">
        <v>72</v>
      </c>
      <c r="B16" s="5" t="s">
        <v>73</v>
      </c>
      <c r="C16" s="6" t="s">
        <v>44</v>
      </c>
    </row>
    <row r="17" customFormat="false" ht="15" hidden="false" customHeight="false" outlineLevel="0" collapsed="false">
      <c r="A17" s="2"/>
      <c r="B17" s="2"/>
      <c r="C17" s="2"/>
    </row>
    <row r="18" customFormat="false" ht="15" hidden="false" customHeight="false" outlineLevel="0" collapsed="false">
      <c r="A18" s="2"/>
      <c r="B18" s="3" t="s">
        <v>74</v>
      </c>
      <c r="C18" s="2"/>
    </row>
  </sheetData>
  <hyperlinks>
    <hyperlink ref="C5" r:id="rId1" display="https://www.investegate.co.uk/announcement/rns/spectris--sxs/2024-full-year-results/8756727"/>
    <hyperlink ref="C6" r:id="rId2" display="https://www.spectris.com/assets/HY25-Results_RNS-statement.pdf"/>
    <hyperlink ref="C7" r:id="rId3" display="https://www.spectris.com/assets/2.7-Announcement-only.pdf"/>
    <hyperlink ref="C8" r:id="rId4" display="https://www.spectris.com/assets/Aurora-Increased-Cash-Offer-Announcement-5-August-2025.pdf"/>
    <hyperlink ref="C9" r:id="rId5" display="https://www.spectris.com/assets/Increased-Offer-Announcement-dated-01-August-2025.pdf"/>
    <hyperlink ref="C10" r:id="rId6" display="https://www.spectris.com/assets/Update-on-Bidco-Financing-Arrangement.pdf"/>
    <hyperlink ref="C11" r:id="rId7" display="https://ar.tradingview.com/news/reuters.com%2C2025-10-27%3Anewsml_RSa8405Ea%3A0-reg-kohlberg-kravis-r-spectris-plc-update-on-equity-syndication"/>
    <hyperlink ref="C12" r:id="rId8" display="https://www.investegate.co.uk/announcement/rns/spectris--sxs/rule-2-9-announcement/9076538"/>
    <hyperlink ref="C13" r:id="rId9" display="https://www.ajbell.co.uk/news/articles/spectris-interim-revenue-and-outlook-affirmed-after-backing-kkr-bid"/>
    <hyperlink ref="C14" r:id="rId10" display="https://businesscloud.co.uk/news/kkr-completes-4-7bn-acquisition-of-spectris/"/>
    <hyperlink ref="C15" r:id="rId11" display="https://stockanalysis.com/quote/lon/HLMA/financials/ratios/"/>
    <hyperlink ref="C16" r:id="rId12" display="https://www.spectris.com/assets/HY25-Results_RNS-statement.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"/>
    <col collapsed="false" customWidth="true" hidden="false" outlineLevel="0" max="4" min="3" style="0" width="12"/>
  </cols>
  <sheetData>
    <row r="1" customFormat="false" ht="17.35" hidden="false" customHeight="false" outlineLevel="0" collapsed="false">
      <c r="A1" s="1" t="s">
        <v>75</v>
      </c>
      <c r="B1" s="2"/>
      <c r="C1" s="2"/>
      <c r="D1" s="2"/>
    </row>
    <row r="2" customFormat="false" ht="15" hidden="false" customHeight="false" outlineLevel="0" collapsed="false">
      <c r="A2" s="3" t="s">
        <v>76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10" t="s">
        <v>77</v>
      </c>
      <c r="B4" s="11"/>
      <c r="C4" s="12" t="s">
        <v>78</v>
      </c>
      <c r="D4" s="12" t="s">
        <v>79</v>
      </c>
    </row>
    <row r="5" customFormat="false" ht="15" hidden="false" customHeight="false" outlineLevel="0" collapsed="false">
      <c r="A5" s="13" t="s">
        <v>80</v>
      </c>
      <c r="B5" s="14"/>
      <c r="C5" s="14"/>
      <c r="D5" s="14"/>
    </row>
    <row r="6" customFormat="false" ht="15" hidden="false" customHeight="false" outlineLevel="0" collapsed="false">
      <c r="A6" s="6" t="s">
        <v>81</v>
      </c>
      <c r="B6" s="2"/>
      <c r="C6" s="15" t="n">
        <v>1449.2</v>
      </c>
      <c r="D6" s="15" t="n">
        <v>1298.7</v>
      </c>
    </row>
    <row r="7" customFormat="false" ht="15" hidden="false" customHeight="false" outlineLevel="0" collapsed="false">
      <c r="A7" s="6" t="s">
        <v>82</v>
      </c>
      <c r="B7" s="2"/>
      <c r="C7" s="15" t="n">
        <v>-611.1</v>
      </c>
      <c r="D7" s="15" t="n">
        <v>-582.8</v>
      </c>
    </row>
    <row r="8" customFormat="false" ht="15" hidden="false" customHeight="false" outlineLevel="0" collapsed="false">
      <c r="A8" s="4" t="s">
        <v>83</v>
      </c>
      <c r="B8" s="2"/>
      <c r="C8" s="16" t="n">
        <f aca="false">C6+C7</f>
        <v>838.1</v>
      </c>
      <c r="D8" s="16" t="n">
        <f aca="false">D6+D7</f>
        <v>715.9</v>
      </c>
    </row>
    <row r="9" customFormat="false" ht="15" hidden="false" customHeight="false" outlineLevel="0" collapsed="false">
      <c r="A9" s="6" t="s">
        <v>84</v>
      </c>
      <c r="B9" s="2"/>
      <c r="C9" s="15" t="n">
        <v>-126.9</v>
      </c>
      <c r="D9" s="15" t="n">
        <v>-112.3</v>
      </c>
    </row>
    <row r="10" customFormat="false" ht="15" hidden="false" customHeight="false" outlineLevel="0" collapsed="false">
      <c r="A10" s="6" t="s">
        <v>85</v>
      </c>
      <c r="B10" s="2"/>
      <c r="C10" s="15" t="n">
        <v>-249.6</v>
      </c>
      <c r="D10" s="15" t="n">
        <v>-215.7</v>
      </c>
    </row>
    <row r="11" customFormat="false" ht="15" hidden="false" customHeight="false" outlineLevel="0" collapsed="false">
      <c r="A11" s="6" t="s">
        <v>86</v>
      </c>
      <c r="B11" s="2"/>
      <c r="C11" s="15" t="n">
        <v>-273</v>
      </c>
      <c r="D11" s="15" t="n">
        <v>-290.3</v>
      </c>
    </row>
    <row r="12" customFormat="false" ht="15" hidden="false" customHeight="false" outlineLevel="0" collapsed="false">
      <c r="A12" s="4" t="s">
        <v>87</v>
      </c>
      <c r="B12" s="2"/>
      <c r="C12" s="16" t="n">
        <f aca="false">SUM(C8:C11)</f>
        <v>188.6</v>
      </c>
      <c r="D12" s="16" t="n">
        <f aca="false">SUM(D8:D11)</f>
        <v>97.6000000000001</v>
      </c>
    </row>
    <row r="13" customFormat="false" ht="15" hidden="false" customHeight="false" outlineLevel="0" collapsed="false">
      <c r="A13" s="6" t="s">
        <v>88</v>
      </c>
      <c r="B13" s="2"/>
      <c r="C13" s="15" t="n">
        <v>188.6</v>
      </c>
      <c r="D13" s="15" t="n">
        <v>97.6</v>
      </c>
    </row>
    <row r="14" customFormat="false" ht="15" hidden="false" customHeight="false" outlineLevel="0" collapsed="false">
      <c r="A14" s="6" t="s">
        <v>89</v>
      </c>
      <c r="B14" s="2"/>
      <c r="C14" s="17" t="n">
        <f aca="false">ROUND(C12-C13,1)</f>
        <v>0</v>
      </c>
      <c r="D14" s="17" t="n">
        <f aca="false">ROUND(D12-D13,1)</f>
        <v>0</v>
      </c>
    </row>
    <row r="15" customFormat="false" ht="15" hidden="false" customHeight="false" outlineLevel="0" collapsed="false">
      <c r="A15" s="2"/>
      <c r="B15" s="2"/>
      <c r="C15" s="2"/>
      <c r="D15" s="2"/>
    </row>
    <row r="16" customFormat="false" ht="15" hidden="false" customHeight="false" outlineLevel="0" collapsed="false">
      <c r="A16" s="13" t="s">
        <v>90</v>
      </c>
      <c r="B16" s="14"/>
      <c r="C16" s="14"/>
      <c r="D16" s="14"/>
    </row>
    <row r="17" customFormat="false" ht="15" hidden="false" customHeight="false" outlineLevel="0" collapsed="false">
      <c r="A17" s="6" t="s">
        <v>87</v>
      </c>
      <c r="B17" s="2"/>
      <c r="C17" s="17" t="n">
        <f aca="false">C12</f>
        <v>188.6</v>
      </c>
      <c r="D17" s="17" t="n">
        <f aca="false">D12</f>
        <v>97.6000000000001</v>
      </c>
    </row>
    <row r="18" customFormat="false" ht="15" hidden="false" customHeight="false" outlineLevel="0" collapsed="false">
      <c r="A18" s="6" t="s">
        <v>91</v>
      </c>
      <c r="B18" s="2"/>
      <c r="C18" s="15" t="n">
        <v>0</v>
      </c>
      <c r="D18" s="15" t="n">
        <v>18.3</v>
      </c>
    </row>
    <row r="19" customFormat="false" ht="15" hidden="false" customHeight="false" outlineLevel="0" collapsed="false">
      <c r="A19" s="6" t="s">
        <v>92</v>
      </c>
      <c r="B19" s="2"/>
      <c r="C19" s="15" t="n">
        <v>14</v>
      </c>
      <c r="D19" s="15" t="n">
        <v>16.2</v>
      </c>
    </row>
    <row r="20" customFormat="false" ht="15" hidden="false" customHeight="false" outlineLevel="0" collapsed="false">
      <c r="A20" s="6" t="s">
        <v>93</v>
      </c>
      <c r="B20" s="2"/>
      <c r="C20" s="15" t="n">
        <v>1</v>
      </c>
      <c r="D20" s="15" t="n">
        <v>0.8</v>
      </c>
    </row>
    <row r="21" customFormat="false" ht="15" hidden="false" customHeight="false" outlineLevel="0" collapsed="false">
      <c r="A21" s="6" t="s">
        <v>94</v>
      </c>
      <c r="B21" s="2"/>
      <c r="C21" s="15" t="n">
        <v>40</v>
      </c>
      <c r="D21" s="15" t="n">
        <v>44.7</v>
      </c>
    </row>
    <row r="22" customFormat="false" ht="15" hidden="false" customHeight="false" outlineLevel="0" collapsed="false">
      <c r="A22" s="6" t="s">
        <v>95</v>
      </c>
      <c r="B22" s="2"/>
      <c r="C22" s="15" t="n">
        <v>18.9</v>
      </c>
      <c r="D22" s="15" t="n">
        <v>25</v>
      </c>
    </row>
    <row r="23" customFormat="false" ht="15" hidden="false" customHeight="false" outlineLevel="0" collapsed="false">
      <c r="A23" s="4" t="s">
        <v>96</v>
      </c>
      <c r="B23" s="2"/>
      <c r="C23" s="16" t="n">
        <f aca="false">SUM(C17:C22)</f>
        <v>262.5</v>
      </c>
      <c r="D23" s="16" t="n">
        <f aca="false">SUM(D17:D22)</f>
        <v>202.6</v>
      </c>
    </row>
    <row r="24" customFormat="false" ht="15" hidden="false" customHeight="false" outlineLevel="0" collapsed="false">
      <c r="A24" s="6" t="s">
        <v>97</v>
      </c>
      <c r="B24" s="2"/>
      <c r="C24" s="15" t="n">
        <v>38.8</v>
      </c>
      <c r="D24" s="15" t="n">
        <v>36.1</v>
      </c>
    </row>
    <row r="25" customFormat="false" ht="15" hidden="false" customHeight="false" outlineLevel="0" collapsed="false">
      <c r="A25" s="4" t="s">
        <v>98</v>
      </c>
      <c r="B25" s="2"/>
      <c r="C25" s="16" t="n">
        <f aca="false">C23+C24</f>
        <v>301.3</v>
      </c>
      <c r="D25" s="16" t="n">
        <f aca="false">D23+D24</f>
        <v>238.7</v>
      </c>
    </row>
    <row r="26" customFormat="false" ht="15" hidden="false" customHeight="false" outlineLevel="0" collapsed="false">
      <c r="A26" s="6" t="s">
        <v>99</v>
      </c>
      <c r="B26" s="2"/>
      <c r="C26" s="18" t="n">
        <f aca="false">C25/C6</f>
        <v>0.207907811206183</v>
      </c>
      <c r="D26" s="18" t="n">
        <f aca="false">D25/D6</f>
        <v>0.183799183799184</v>
      </c>
    </row>
    <row r="27" customFormat="false" ht="15" hidden="false" customHeight="false" outlineLevel="0" collapsed="false">
      <c r="A27" s="6" t="s">
        <v>100</v>
      </c>
      <c r="B27" s="2"/>
      <c r="C27" s="15"/>
      <c r="D27" s="15" t="n">
        <v>239</v>
      </c>
    </row>
    <row r="28" customFormat="false" ht="15" hidden="false" customHeight="false" outlineLevel="0" collapsed="false">
      <c r="A28" s="6" t="s">
        <v>101</v>
      </c>
      <c r="B28" s="2"/>
      <c r="C28" s="17"/>
      <c r="D28" s="17" t="n">
        <f aca="false">ROUND(D25-D27,0)</f>
        <v>-0</v>
      </c>
    </row>
    <row r="29" customFormat="false" ht="15" hidden="false" customHeight="false" outlineLevel="0" collapsed="false">
      <c r="A29" s="2"/>
      <c r="B29" s="2"/>
      <c r="C29" s="2"/>
      <c r="D29" s="2"/>
    </row>
    <row r="30" customFormat="false" ht="15" hidden="false" customHeight="false" outlineLevel="0" collapsed="false">
      <c r="A30" s="13" t="s">
        <v>102</v>
      </c>
      <c r="B30" s="14"/>
      <c r="C30" s="14"/>
      <c r="D30" s="14"/>
    </row>
    <row r="31" customFormat="false" ht="15" hidden="false" customHeight="false" outlineLevel="0" collapsed="false">
      <c r="A31" s="6" t="s">
        <v>103</v>
      </c>
      <c r="B31" s="2"/>
      <c r="C31" s="15" t="n">
        <v>565.5</v>
      </c>
      <c r="D31" s="15" t="n">
        <v>1087.5</v>
      </c>
    </row>
    <row r="32" customFormat="false" ht="15" hidden="false" customHeight="false" outlineLevel="0" collapsed="false">
      <c r="A32" s="6" t="s">
        <v>104</v>
      </c>
      <c r="B32" s="2"/>
      <c r="C32" s="15" t="n">
        <v>167.1</v>
      </c>
      <c r="D32" s="15" t="n">
        <v>421.3</v>
      </c>
    </row>
    <row r="33" customFormat="false" ht="15" hidden="false" customHeight="false" outlineLevel="0" collapsed="false">
      <c r="A33" s="6" t="s">
        <v>105</v>
      </c>
      <c r="B33" s="2"/>
      <c r="C33" s="15" t="n">
        <v>136.2</v>
      </c>
      <c r="D33" s="15" t="n">
        <v>171.1</v>
      </c>
    </row>
    <row r="34" customFormat="false" ht="15" hidden="false" customHeight="false" outlineLevel="0" collapsed="false">
      <c r="A34" s="6" t="s">
        <v>106</v>
      </c>
      <c r="B34" s="2"/>
      <c r="C34" s="15" t="n">
        <v>58.1</v>
      </c>
      <c r="D34" s="15" t="n">
        <v>71.3</v>
      </c>
    </row>
    <row r="35" customFormat="false" ht="15" hidden="false" customHeight="false" outlineLevel="0" collapsed="false">
      <c r="A35" s="6" t="s">
        <v>107</v>
      </c>
      <c r="B35" s="2"/>
      <c r="C35" s="15" t="n">
        <f aca="false">24.3+21.7+10.8+0.4+5.9+26.6+2.4</f>
        <v>92.1</v>
      </c>
      <c r="D35" s="15" t="n">
        <f aca="false">23+19.8+10.3+0.9+6.1+22.2+3.8</f>
        <v>86.1</v>
      </c>
    </row>
    <row r="36" customFormat="false" ht="15" hidden="false" customHeight="false" outlineLevel="0" collapsed="false">
      <c r="A36" s="6" t="s">
        <v>108</v>
      </c>
      <c r="B36" s="2"/>
      <c r="C36" s="15" t="n">
        <v>231.8</v>
      </c>
      <c r="D36" s="15" t="n">
        <v>250.2</v>
      </c>
    </row>
    <row r="37" customFormat="false" ht="15" hidden="false" customHeight="false" outlineLevel="0" collapsed="false">
      <c r="A37" s="6" t="s">
        <v>109</v>
      </c>
      <c r="B37" s="2"/>
      <c r="C37" s="15" t="n">
        <v>317.9</v>
      </c>
      <c r="D37" s="15" t="n">
        <v>347</v>
      </c>
    </row>
    <row r="38" customFormat="false" ht="15" hidden="false" customHeight="false" outlineLevel="0" collapsed="false">
      <c r="A38" s="6" t="s">
        <v>110</v>
      </c>
      <c r="B38" s="2"/>
      <c r="C38" s="15" t="n">
        <v>138.5</v>
      </c>
      <c r="D38" s="15" t="n">
        <v>105.7</v>
      </c>
    </row>
    <row r="39" customFormat="false" ht="15" hidden="false" customHeight="false" outlineLevel="0" collapsed="false">
      <c r="A39" s="6" t="s">
        <v>111</v>
      </c>
      <c r="B39" s="2"/>
      <c r="C39" s="15" t="n">
        <f aca="false">7.2+5.8+97.5</f>
        <v>110.5</v>
      </c>
      <c r="D39" s="15" t="n">
        <f aca="false">17.2+1.9</f>
        <v>19.1</v>
      </c>
    </row>
    <row r="40" customFormat="false" ht="15" hidden="false" customHeight="false" outlineLevel="0" collapsed="false">
      <c r="A40" s="4" t="s">
        <v>112</v>
      </c>
      <c r="B40" s="2"/>
      <c r="C40" s="16" t="n">
        <f aca="false">SUM(C31:C39)</f>
        <v>1817.7</v>
      </c>
      <c r="D40" s="16" t="n">
        <f aca="false">SUM(D31:D39)</f>
        <v>2559.3</v>
      </c>
    </row>
    <row r="41" customFormat="false" ht="15" hidden="false" customHeight="false" outlineLevel="0" collapsed="false">
      <c r="A41" s="6" t="s">
        <v>113</v>
      </c>
      <c r="B41" s="2"/>
      <c r="C41" s="15" t="n">
        <v>369.4</v>
      </c>
      <c r="D41" s="15" t="n">
        <v>330.8</v>
      </c>
    </row>
    <row r="42" customFormat="false" ht="15" hidden="false" customHeight="false" outlineLevel="0" collapsed="false">
      <c r="A42" s="6" t="s">
        <v>114</v>
      </c>
      <c r="B42" s="2"/>
      <c r="C42" s="15" t="n">
        <v>0</v>
      </c>
      <c r="D42" s="15" t="n">
        <f aca="false">13.3+641.4</f>
        <v>654.7</v>
      </c>
    </row>
    <row r="43" customFormat="false" ht="15" hidden="false" customHeight="false" outlineLevel="0" collapsed="false">
      <c r="A43" s="6" t="s">
        <v>115</v>
      </c>
      <c r="B43" s="2"/>
      <c r="C43" s="15" t="n">
        <f aca="false">14.4+48.3</f>
        <v>62.7</v>
      </c>
      <c r="D43" s="15" t="n">
        <f aca="false">22.1+54.6</f>
        <v>76.7</v>
      </c>
    </row>
    <row r="44" customFormat="false" ht="15" hidden="false" customHeight="false" outlineLevel="0" collapsed="false">
      <c r="A44" s="6" t="s">
        <v>116</v>
      </c>
      <c r="B44" s="2"/>
      <c r="C44" s="15" t="n">
        <f aca="false">0.1+12.6+8.5+17.8+15.1+0.1+2.6+11.6+1.3</f>
        <v>69.7</v>
      </c>
      <c r="D44" s="15" t="n">
        <f aca="false">1+6.3+21.9+27.6+0.8+3.2+11.1+44.6</f>
        <v>116.5</v>
      </c>
    </row>
    <row r="45" customFormat="false" ht="15" hidden="false" customHeight="false" outlineLevel="0" collapsed="false">
      <c r="A45" s="6" t="s">
        <v>117</v>
      </c>
      <c r="B45" s="2"/>
      <c r="C45" s="15" t="n">
        <v>1315.9</v>
      </c>
      <c r="D45" s="15" t="n">
        <v>1380.6</v>
      </c>
    </row>
    <row r="46" customFormat="false" ht="15" hidden="false" customHeight="false" outlineLevel="0" collapsed="false">
      <c r="A46" s="4" t="s">
        <v>118</v>
      </c>
      <c r="B46" s="2"/>
      <c r="C46" s="16" t="n">
        <f aca="false">SUM(C41:C45)</f>
        <v>1817.7</v>
      </c>
      <c r="D46" s="16" t="n">
        <f aca="false">SUM(D41:D45)</f>
        <v>2559.3</v>
      </c>
    </row>
    <row r="47" customFormat="false" ht="15" hidden="false" customHeight="false" outlineLevel="0" collapsed="false">
      <c r="A47" s="6" t="s">
        <v>119</v>
      </c>
      <c r="B47" s="2"/>
      <c r="C47" s="19" t="n">
        <f aca="false">ROUND(C40-C46,1)</f>
        <v>0</v>
      </c>
      <c r="D47" s="19" t="n">
        <f aca="false">ROUND(D40-D46,1)</f>
        <v>0</v>
      </c>
    </row>
    <row r="48" customFormat="false" ht="15" hidden="false" customHeight="false" outlineLevel="0" collapsed="false">
      <c r="A48" s="6" t="s">
        <v>120</v>
      </c>
      <c r="B48" s="2"/>
      <c r="C48" s="17" t="n">
        <f aca="false">C42-C38</f>
        <v>-138.5</v>
      </c>
      <c r="D48" s="17" t="n">
        <f aca="false">D42-D38</f>
        <v>549</v>
      </c>
    </row>
    <row r="49" customFormat="false" ht="15" hidden="false" customHeight="false" outlineLevel="0" collapsed="false">
      <c r="A49" s="2"/>
      <c r="B49" s="2"/>
      <c r="C49" s="2"/>
      <c r="D49" s="2"/>
    </row>
    <row r="50" customFormat="false" ht="15" hidden="false" customHeight="false" outlineLevel="0" collapsed="false">
      <c r="A50" s="13" t="s">
        <v>121</v>
      </c>
      <c r="B50" s="14"/>
      <c r="C50" s="14"/>
      <c r="D50" s="14"/>
    </row>
    <row r="51" customFormat="false" ht="15" hidden="false" customHeight="false" outlineLevel="0" collapsed="false">
      <c r="A51" s="6" t="s">
        <v>122</v>
      </c>
      <c r="B51" s="2"/>
      <c r="C51" s="15" t="n">
        <v>195.2</v>
      </c>
      <c r="D51" s="15" t="n">
        <v>93.2</v>
      </c>
    </row>
    <row r="52" customFormat="false" ht="15" hidden="false" customHeight="false" outlineLevel="0" collapsed="false">
      <c r="A52" s="6" t="s">
        <v>123</v>
      </c>
      <c r="B52" s="2"/>
      <c r="C52" s="15" t="n">
        <v>-24.7</v>
      </c>
      <c r="D52" s="15" t="n">
        <v>-51.7</v>
      </c>
    </row>
    <row r="53" customFormat="false" ht="15" hidden="false" customHeight="false" outlineLevel="0" collapsed="false">
      <c r="A53" s="6" t="s">
        <v>124</v>
      </c>
      <c r="B53" s="2"/>
      <c r="C53" s="15" t="n">
        <v>-15.4</v>
      </c>
      <c r="D53" s="15" t="n">
        <v>-15.2</v>
      </c>
    </row>
    <row r="54" customFormat="false" ht="15" hidden="false" customHeight="false" outlineLevel="0" collapsed="false">
      <c r="A54" s="6" t="s">
        <v>125</v>
      </c>
      <c r="B54" s="2"/>
      <c r="C54" s="15" t="n">
        <v>-79.7</v>
      </c>
      <c r="D54" s="15" t="n">
        <v>-80.5</v>
      </c>
    </row>
    <row r="55" customFormat="false" ht="15" hidden="false" customHeight="false" outlineLevel="0" collapsed="false">
      <c r="A55" s="6" t="s">
        <v>126</v>
      </c>
      <c r="B55" s="2"/>
      <c r="C55" s="15" t="n">
        <v>-114.9</v>
      </c>
      <c r="D55" s="15" t="n">
        <v>-96.7</v>
      </c>
    </row>
    <row r="56" customFormat="false" ht="15" hidden="false" customHeight="false" outlineLevel="0" collapsed="false">
      <c r="A56" s="2"/>
      <c r="B56" s="2"/>
      <c r="C56" s="2"/>
      <c r="D56" s="2"/>
    </row>
    <row r="57" customFormat="false" ht="15" hidden="false" customHeight="false" outlineLevel="0" collapsed="false">
      <c r="A57" s="13" t="s">
        <v>127</v>
      </c>
      <c r="B57" s="14"/>
      <c r="C57" s="14"/>
      <c r="D57" s="14"/>
    </row>
    <row r="58" customFormat="false" ht="15" hidden="false" customHeight="false" outlineLevel="0" collapsed="false">
      <c r="A58" s="6" t="s">
        <v>128</v>
      </c>
      <c r="B58" s="2"/>
      <c r="C58" s="18" t="n">
        <f aca="false">C36/C6</f>
        <v>0.159950317416506</v>
      </c>
      <c r="D58" s="18" t="n">
        <f aca="false">D36/D6</f>
        <v>0.192654192654193</v>
      </c>
    </row>
    <row r="59" customFormat="false" ht="15" hidden="false" customHeight="false" outlineLevel="0" collapsed="false">
      <c r="A59" s="6" t="s">
        <v>129</v>
      </c>
      <c r="B59" s="2"/>
      <c r="C59" s="18" t="n">
        <f aca="false">C37/C6</f>
        <v>0.219362406845156</v>
      </c>
      <c r="D59" s="18" t="n">
        <f aca="false">D37/D6</f>
        <v>0.267190267190267</v>
      </c>
    </row>
    <row r="60" customFormat="false" ht="15" hidden="false" customHeight="false" outlineLevel="0" collapsed="false">
      <c r="A60" s="6" t="s">
        <v>130</v>
      </c>
      <c r="B60" s="2"/>
      <c r="C60" s="18" t="n">
        <f aca="false">C41/C6</f>
        <v>0.254899254761248</v>
      </c>
      <c r="D60" s="18" t="n">
        <f aca="false">D41/D6</f>
        <v>0.254716254716255</v>
      </c>
    </row>
    <row r="61" customFormat="false" ht="15" hidden="false" customHeight="false" outlineLevel="0" collapsed="false">
      <c r="A61" s="6" t="s">
        <v>131</v>
      </c>
      <c r="B61" s="2"/>
      <c r="C61" s="18" t="n">
        <f aca="false">C24/C6</f>
        <v>0.0267733922163953</v>
      </c>
      <c r="D61" s="18" t="n">
        <f aca="false">D24/D6</f>
        <v>0.0277970277970278</v>
      </c>
    </row>
    <row r="62" customFormat="false" ht="15" hidden="false" customHeight="false" outlineLevel="0" collapsed="false">
      <c r="A62" s="6" t="s">
        <v>132</v>
      </c>
      <c r="B62" s="2"/>
      <c r="C62" s="18" t="n">
        <f aca="false">-C52/C6</f>
        <v>0.0170438862820867</v>
      </c>
      <c r="D62" s="18" t="n">
        <f aca="false">-D52/D6</f>
        <v>0.0398090398090398</v>
      </c>
    </row>
    <row r="63" customFormat="false" ht="15" hidden="false" customHeight="false" outlineLevel="0" collapsed="false">
      <c r="A63" s="6" t="s">
        <v>133</v>
      </c>
      <c r="B63" s="2"/>
      <c r="C63" s="18" t="n">
        <f aca="false">-C53/C6</f>
        <v>0.0106265525807342</v>
      </c>
      <c r="D63" s="18" t="n">
        <f aca="false">-D53/D6</f>
        <v>0.0117040117040117</v>
      </c>
    </row>
    <row r="64" customFormat="false" ht="15" hidden="false" customHeight="false" outlineLevel="0" collapsed="false">
      <c r="A64" s="6" t="s">
        <v>134</v>
      </c>
      <c r="B64" s="2"/>
      <c r="C64" s="18" t="n">
        <f aca="false">C23/C6</f>
        <v>0.181134418989787</v>
      </c>
      <c r="D64" s="18" t="n">
        <f aca="false">D23/D6</f>
        <v>0.156002156002156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9" min="2" style="0" width="12"/>
    <col collapsed="false" customWidth="true" hidden="false" outlineLevel="0" max="10" min="10" style="0" width="70"/>
  </cols>
  <sheetData>
    <row r="1" customFormat="false" ht="17.35" hidden="false" customHeight="false" outlineLevel="0" collapsed="false">
      <c r="A1" s="1" t="s">
        <v>12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135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10" t="s">
        <v>136</v>
      </c>
      <c r="B4" s="11"/>
      <c r="C4" s="12" t="s">
        <v>137</v>
      </c>
      <c r="D4" s="11"/>
      <c r="E4" s="11"/>
      <c r="F4" s="11"/>
      <c r="G4" s="11"/>
      <c r="H4" s="11"/>
      <c r="I4" s="11"/>
      <c r="J4" s="10" t="s">
        <v>138</v>
      </c>
    </row>
    <row r="5" customFormat="false" ht="15" hidden="false" customHeight="false" outlineLevel="0" collapsed="false">
      <c r="A5" s="13" t="s">
        <v>139</v>
      </c>
      <c r="B5" s="14"/>
      <c r="C5" s="14"/>
      <c r="D5" s="14"/>
      <c r="E5" s="14"/>
      <c r="F5" s="14"/>
      <c r="G5" s="14"/>
      <c r="H5" s="14"/>
      <c r="I5" s="14"/>
      <c r="J5" s="14"/>
    </row>
    <row r="6" customFormat="false" ht="15" hidden="false" customHeight="false" outlineLevel="0" collapsed="false">
      <c r="A6" s="6" t="s">
        <v>140</v>
      </c>
      <c r="B6" s="2"/>
      <c r="C6" s="20" t="n">
        <v>41.75</v>
      </c>
      <c r="D6" s="2"/>
      <c r="E6" s="2"/>
      <c r="F6" s="2"/>
      <c r="G6" s="2"/>
      <c r="H6" s="2"/>
      <c r="I6" s="2"/>
      <c r="J6" s="3" t="s">
        <v>141</v>
      </c>
    </row>
    <row r="7" customFormat="false" ht="15" hidden="false" customHeight="false" outlineLevel="0" collapsed="false">
      <c r="A7" s="6" t="s">
        <v>142</v>
      </c>
      <c r="B7" s="2"/>
      <c r="C7" s="21" t="n">
        <v>0.28</v>
      </c>
      <c r="D7" s="2"/>
      <c r="E7" s="2"/>
      <c r="F7" s="2"/>
      <c r="G7" s="2"/>
      <c r="H7" s="2"/>
      <c r="I7" s="2"/>
      <c r="J7" s="3" t="s">
        <v>48</v>
      </c>
    </row>
    <row r="8" customFormat="false" ht="15" hidden="false" customHeight="false" outlineLevel="0" collapsed="false">
      <c r="A8" s="6" t="s">
        <v>143</v>
      </c>
      <c r="B8" s="2"/>
      <c r="C8" s="22" t="n">
        <v>101</v>
      </c>
      <c r="D8" s="2"/>
      <c r="E8" s="2"/>
      <c r="F8" s="2"/>
      <c r="G8" s="2"/>
      <c r="H8" s="2"/>
      <c r="I8" s="2"/>
      <c r="J8" s="3" t="s">
        <v>144</v>
      </c>
    </row>
    <row r="9" customFormat="false" ht="15" hidden="false" customHeight="false" outlineLevel="0" collapsed="false">
      <c r="A9" s="6" t="s">
        <v>145</v>
      </c>
      <c r="B9" s="2"/>
      <c r="C9" s="15" t="n">
        <v>545.7</v>
      </c>
      <c r="D9" s="2"/>
      <c r="E9" s="2"/>
      <c r="F9" s="2"/>
      <c r="G9" s="2"/>
      <c r="H9" s="2"/>
      <c r="I9" s="2"/>
      <c r="J9" s="3" t="s">
        <v>42</v>
      </c>
    </row>
    <row r="10" customFormat="false" ht="15" hidden="false" customHeight="false" outlineLevel="0" collapsed="false">
      <c r="A10" s="6" t="s">
        <v>146</v>
      </c>
      <c r="B10" s="2"/>
      <c r="C10" s="15" t="n">
        <v>76.5</v>
      </c>
      <c r="D10" s="2"/>
      <c r="E10" s="2"/>
      <c r="F10" s="2"/>
      <c r="G10" s="2"/>
      <c r="H10" s="2"/>
      <c r="I10" s="2"/>
      <c r="J10" s="3" t="s">
        <v>42</v>
      </c>
    </row>
    <row r="11" customFormat="false" ht="15" hidden="false" customHeight="false" outlineLevel="0" collapsed="false">
      <c r="A11" s="6" t="s">
        <v>147</v>
      </c>
      <c r="B11" s="2"/>
      <c r="C11" s="21" t="n">
        <v>20.38</v>
      </c>
      <c r="D11" s="2"/>
      <c r="E11" s="2"/>
      <c r="F11" s="2"/>
      <c r="G11" s="2"/>
      <c r="H11" s="2"/>
      <c r="I11" s="2"/>
      <c r="J11" s="3" t="s">
        <v>48</v>
      </c>
    </row>
    <row r="12" customFormat="false" ht="15" hidden="false" customHeight="false" outlineLevel="0" collapsed="false">
      <c r="A12" s="6" t="s">
        <v>148</v>
      </c>
      <c r="B12" s="2"/>
      <c r="C12" s="21" t="n">
        <v>37.63</v>
      </c>
      <c r="D12" s="2"/>
      <c r="E12" s="2"/>
      <c r="F12" s="2"/>
      <c r="G12" s="2"/>
      <c r="H12" s="2"/>
      <c r="I12" s="2"/>
      <c r="J12" s="3" t="s">
        <v>51</v>
      </c>
    </row>
    <row r="13" customFormat="false" ht="15" hidden="false" customHeight="false" outlineLevel="0" collapsed="false">
      <c r="A13" s="6" t="s">
        <v>149</v>
      </c>
      <c r="B13" s="2"/>
      <c r="C13" s="21" t="n">
        <v>40</v>
      </c>
      <c r="D13" s="2"/>
      <c r="E13" s="2"/>
      <c r="F13" s="2"/>
      <c r="G13" s="2"/>
      <c r="H13" s="2"/>
      <c r="I13" s="2"/>
      <c r="J13" s="3" t="s">
        <v>45</v>
      </c>
    </row>
    <row r="14" customFormat="false" ht="15" hidden="false" customHeight="false" outlineLevel="0" collapsed="false">
      <c r="A14" s="6" t="s">
        <v>150</v>
      </c>
      <c r="B14" s="2"/>
      <c r="C14" s="21" t="n">
        <v>41</v>
      </c>
      <c r="D14" s="2"/>
      <c r="E14" s="2"/>
      <c r="F14" s="2"/>
      <c r="G14" s="2"/>
      <c r="H14" s="2"/>
      <c r="I14" s="2"/>
      <c r="J14" s="3" t="s">
        <v>51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13" t="s">
        <v>151</v>
      </c>
      <c r="B16" s="14"/>
      <c r="C16" s="14"/>
      <c r="D16" s="14"/>
      <c r="E16" s="14"/>
      <c r="F16" s="14"/>
      <c r="G16" s="14"/>
      <c r="H16" s="14"/>
      <c r="I16" s="14"/>
      <c r="J16" s="14"/>
    </row>
    <row r="17" customFormat="false" ht="15" hidden="false" customHeight="false" outlineLevel="0" collapsed="false">
      <c r="A17" s="6" t="s">
        <v>152</v>
      </c>
      <c r="B17" s="2"/>
      <c r="C17" s="23" t="n">
        <v>1500</v>
      </c>
      <c r="D17" s="2"/>
      <c r="E17" s="2"/>
      <c r="F17" s="2"/>
      <c r="G17" s="2"/>
      <c r="H17" s="2"/>
      <c r="I17" s="2"/>
      <c r="J17" s="3" t="s">
        <v>153</v>
      </c>
    </row>
    <row r="18" customFormat="false" ht="15" hidden="false" customHeight="false" outlineLevel="0" collapsed="false">
      <c r="A18" s="6" t="s">
        <v>154</v>
      </c>
      <c r="B18" s="2"/>
      <c r="C18" s="23" t="n">
        <v>300</v>
      </c>
      <c r="D18" s="2"/>
      <c r="E18" s="2"/>
      <c r="F18" s="2"/>
      <c r="G18" s="2"/>
      <c r="H18" s="2"/>
      <c r="I18" s="2"/>
      <c r="J18" s="3" t="s">
        <v>54</v>
      </c>
    </row>
    <row r="19" customFormat="false" ht="15" hidden="false" customHeight="false" outlineLevel="0" collapsed="false">
      <c r="A19" s="6" t="s">
        <v>155</v>
      </c>
      <c r="B19" s="2"/>
      <c r="C19" s="24" t="n">
        <v>0.065</v>
      </c>
      <c r="D19" s="2"/>
      <c r="E19" s="2"/>
      <c r="F19" s="2"/>
      <c r="G19" s="2"/>
      <c r="H19" s="2"/>
      <c r="I19" s="2"/>
      <c r="J19" s="3" t="s">
        <v>156</v>
      </c>
    </row>
    <row r="20" customFormat="false" ht="15" hidden="false" customHeight="false" outlineLevel="0" collapsed="false">
      <c r="A20" s="6" t="s">
        <v>157</v>
      </c>
      <c r="B20" s="2"/>
      <c r="C20" s="25" t="n">
        <v>0.01</v>
      </c>
      <c r="D20" s="2"/>
      <c r="E20" s="2"/>
      <c r="F20" s="2"/>
      <c r="G20" s="2"/>
      <c r="H20" s="2"/>
      <c r="I20" s="2"/>
      <c r="J20" s="3" t="s">
        <v>158</v>
      </c>
    </row>
    <row r="21" customFormat="false" ht="15" hidden="false" customHeight="false" outlineLevel="0" collapsed="false">
      <c r="A21" s="6" t="s">
        <v>159</v>
      </c>
      <c r="B21" s="2"/>
      <c r="C21" s="25" t="n">
        <v>1</v>
      </c>
      <c r="D21" s="2"/>
      <c r="E21" s="2"/>
      <c r="F21" s="2"/>
      <c r="G21" s="2"/>
      <c r="H21" s="2"/>
      <c r="I21" s="2"/>
      <c r="J21" s="3" t="s">
        <v>160</v>
      </c>
    </row>
    <row r="22" customFormat="false" ht="15" hidden="false" customHeight="false" outlineLevel="0" collapsed="false">
      <c r="A22" s="6" t="s">
        <v>161</v>
      </c>
      <c r="B22" s="2"/>
      <c r="C22" s="23" t="n">
        <v>100</v>
      </c>
      <c r="D22" s="2"/>
      <c r="E22" s="2"/>
      <c r="F22" s="2"/>
      <c r="G22" s="2"/>
      <c r="H22" s="2"/>
      <c r="I22" s="2"/>
      <c r="J22" s="3" t="s">
        <v>162</v>
      </c>
    </row>
    <row r="23" customFormat="false" ht="15" hidden="false" customHeight="false" outlineLevel="0" collapsed="false">
      <c r="A23" s="6" t="s">
        <v>163</v>
      </c>
      <c r="B23" s="2"/>
      <c r="C23" s="25" t="n">
        <v>0.04</v>
      </c>
      <c r="D23" s="2"/>
      <c r="E23" s="2"/>
      <c r="F23" s="2"/>
      <c r="G23" s="2"/>
      <c r="H23" s="2"/>
      <c r="I23" s="2"/>
      <c r="J23" s="3" t="s">
        <v>160</v>
      </c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13" t="s">
        <v>164</v>
      </c>
      <c r="B25" s="14"/>
      <c r="C25" s="14"/>
      <c r="D25" s="14"/>
      <c r="E25" s="14"/>
      <c r="F25" s="14"/>
      <c r="G25" s="14"/>
      <c r="H25" s="14"/>
      <c r="I25" s="14"/>
      <c r="J25" s="14"/>
    </row>
    <row r="26" customFormat="false" ht="15" hidden="false" customHeight="false" outlineLevel="0" collapsed="false">
      <c r="A26" s="6" t="s">
        <v>165</v>
      </c>
      <c r="B26" s="2"/>
      <c r="C26" s="25" t="n">
        <v>0.005</v>
      </c>
      <c r="D26" s="2"/>
      <c r="E26" s="2"/>
      <c r="F26" s="2"/>
      <c r="G26" s="2"/>
      <c r="H26" s="2"/>
      <c r="I26" s="2"/>
      <c r="J26" s="3" t="s">
        <v>166</v>
      </c>
    </row>
    <row r="27" customFormat="false" ht="15" hidden="false" customHeight="false" outlineLevel="0" collapsed="false">
      <c r="A27" s="6" t="s">
        <v>167</v>
      </c>
      <c r="B27" s="2"/>
      <c r="C27" s="25" t="n">
        <v>0.025</v>
      </c>
      <c r="D27" s="2"/>
      <c r="E27" s="2"/>
      <c r="F27" s="2"/>
      <c r="G27" s="2"/>
      <c r="H27" s="2"/>
      <c r="I27" s="2"/>
      <c r="J27" s="3" t="s">
        <v>168</v>
      </c>
    </row>
    <row r="28" customFormat="false" ht="15" hidden="false" customHeight="false" outlineLevel="0" collapsed="false">
      <c r="A28" s="6" t="s">
        <v>169</v>
      </c>
      <c r="B28" s="2"/>
      <c r="C28" s="23" t="n">
        <v>60</v>
      </c>
      <c r="D28" s="2"/>
      <c r="E28" s="2"/>
      <c r="F28" s="2"/>
      <c r="G28" s="2"/>
      <c r="H28" s="2"/>
      <c r="I28" s="2"/>
      <c r="J28" s="3" t="s">
        <v>160</v>
      </c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customFormat="false" ht="15" hidden="false" customHeight="false" outlineLevel="0" collapsed="false">
      <c r="A30" s="13" t="s">
        <v>170</v>
      </c>
      <c r="B30" s="14"/>
      <c r="C30" s="14"/>
      <c r="D30" s="14"/>
      <c r="E30" s="14"/>
      <c r="F30" s="14"/>
      <c r="G30" s="14"/>
      <c r="H30" s="14"/>
      <c r="I30" s="14"/>
      <c r="J30" s="14"/>
    </row>
    <row r="31" customFormat="false" ht="15" hidden="false" customHeight="false" outlineLevel="0" collapsed="false">
      <c r="A31" s="6" t="s">
        <v>171</v>
      </c>
      <c r="B31" s="2"/>
      <c r="C31" s="15" t="n">
        <v>636.1</v>
      </c>
      <c r="D31" s="2"/>
      <c r="E31" s="2"/>
      <c r="F31" s="2"/>
      <c r="G31" s="2"/>
      <c r="H31" s="2"/>
      <c r="I31" s="2"/>
      <c r="J31" s="3" t="s">
        <v>42</v>
      </c>
    </row>
    <row r="32" customFormat="false" ht="15" hidden="false" customHeight="false" outlineLevel="0" collapsed="false">
      <c r="A32" s="6" t="s">
        <v>172</v>
      </c>
      <c r="B32" s="2"/>
      <c r="C32" s="15" t="n">
        <v>589.7</v>
      </c>
      <c r="D32" s="2"/>
      <c r="E32" s="2"/>
      <c r="F32" s="2"/>
      <c r="G32" s="2"/>
      <c r="H32" s="2"/>
      <c r="I32" s="2"/>
      <c r="J32" s="3" t="s">
        <v>42</v>
      </c>
    </row>
    <row r="33" customFormat="false" ht="15" hidden="false" customHeight="false" outlineLevel="0" collapsed="false">
      <c r="A33" s="6" t="s">
        <v>173</v>
      </c>
      <c r="B33" s="2"/>
      <c r="C33" s="25" t="n">
        <v>0.04</v>
      </c>
      <c r="D33" s="2"/>
      <c r="E33" s="2"/>
      <c r="F33" s="2"/>
      <c r="G33" s="2"/>
      <c r="H33" s="2"/>
      <c r="I33" s="2"/>
      <c r="J33" s="3" t="s">
        <v>174</v>
      </c>
    </row>
    <row r="34" customFormat="false" ht="15" hidden="false" customHeight="false" outlineLevel="0" collapsed="false">
      <c r="A34" s="6" t="s">
        <v>175</v>
      </c>
      <c r="B34" s="2"/>
      <c r="C34" s="26" t="n">
        <v>235.4</v>
      </c>
      <c r="D34" s="2"/>
      <c r="E34" s="2"/>
      <c r="F34" s="2"/>
      <c r="G34" s="2"/>
      <c r="H34" s="2"/>
      <c r="I34" s="2"/>
      <c r="J34" s="3" t="s">
        <v>176</v>
      </c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customFormat="false" ht="15" hidden="false" customHeight="false" outlineLevel="0" collapsed="false">
      <c r="A36" s="13" t="s">
        <v>177</v>
      </c>
      <c r="B36" s="14"/>
      <c r="C36" s="14"/>
      <c r="D36" s="14"/>
      <c r="E36" s="14"/>
      <c r="F36" s="14"/>
      <c r="G36" s="14"/>
      <c r="H36" s="14"/>
      <c r="I36" s="14"/>
      <c r="J36" s="14"/>
    </row>
    <row r="37" customFormat="false" ht="15" hidden="false" customHeight="false" outlineLevel="0" collapsed="false">
      <c r="A37" s="10"/>
      <c r="B37" s="11"/>
      <c r="C37" s="11"/>
      <c r="D37" s="12" t="s">
        <v>178</v>
      </c>
      <c r="E37" s="12" t="s">
        <v>179</v>
      </c>
      <c r="F37" s="12" t="s">
        <v>180</v>
      </c>
      <c r="G37" s="12" t="s">
        <v>181</v>
      </c>
      <c r="H37" s="12" t="s">
        <v>182</v>
      </c>
      <c r="I37" s="12" t="s">
        <v>183</v>
      </c>
      <c r="J37" s="2"/>
    </row>
    <row r="38" customFormat="false" ht="15" hidden="false" customHeight="false" outlineLevel="0" collapsed="false">
      <c r="A38" s="6" t="s">
        <v>184</v>
      </c>
      <c r="B38" s="2"/>
      <c r="C38" s="2"/>
      <c r="D38" s="2"/>
      <c r="E38" s="24" t="n">
        <v>0.05</v>
      </c>
      <c r="F38" s="24" t="n">
        <v>0.05</v>
      </c>
      <c r="G38" s="24" t="n">
        <v>0.05</v>
      </c>
      <c r="H38" s="24" t="n">
        <v>0.05</v>
      </c>
      <c r="I38" s="24" t="n">
        <v>0.05</v>
      </c>
      <c r="J38" s="3" t="s">
        <v>185</v>
      </c>
    </row>
    <row r="39" customFormat="false" ht="15" hidden="false" customHeight="false" outlineLevel="0" collapsed="false">
      <c r="A39" s="6" t="s">
        <v>134</v>
      </c>
      <c r="B39" s="2"/>
      <c r="C39" s="2"/>
      <c r="D39" s="2"/>
      <c r="E39" s="24" t="n">
        <v>0.18</v>
      </c>
      <c r="F39" s="24" t="n">
        <v>0.19</v>
      </c>
      <c r="G39" s="24" t="n">
        <v>0.195</v>
      </c>
      <c r="H39" s="24" t="n">
        <v>0.195</v>
      </c>
      <c r="I39" s="24" t="n">
        <v>0.195</v>
      </c>
      <c r="J39" s="3" t="s">
        <v>186</v>
      </c>
    </row>
    <row r="40" customFormat="false" ht="15" hidden="false" customHeight="false" outlineLevel="0" collapsed="false">
      <c r="A40" s="6" t="s">
        <v>187</v>
      </c>
      <c r="B40" s="2"/>
      <c r="C40" s="2"/>
      <c r="D40" s="25" t="n">
        <v>0.029</v>
      </c>
      <c r="E40" s="25" t="n">
        <v>0.029</v>
      </c>
      <c r="F40" s="25" t="n">
        <v>0.029</v>
      </c>
      <c r="G40" s="25" t="n">
        <v>0.029</v>
      </c>
      <c r="H40" s="25" t="n">
        <v>0.029</v>
      </c>
      <c r="I40" s="25" t="n">
        <v>0.029</v>
      </c>
      <c r="J40" s="3" t="s">
        <v>188</v>
      </c>
    </row>
    <row r="41" customFormat="false" ht="15" hidden="false" customHeight="false" outlineLevel="0" collapsed="false">
      <c r="A41" s="6" t="s">
        <v>189</v>
      </c>
      <c r="B41" s="2"/>
      <c r="C41" s="2"/>
      <c r="D41" s="25" t="n">
        <v>0.012</v>
      </c>
      <c r="E41" s="25" t="n">
        <v>0.012</v>
      </c>
      <c r="F41" s="25" t="n">
        <v>0.012</v>
      </c>
      <c r="G41" s="25" t="n">
        <v>0.012</v>
      </c>
      <c r="H41" s="25" t="n">
        <v>0.012</v>
      </c>
      <c r="I41" s="25" t="n">
        <v>0.012</v>
      </c>
      <c r="J41" s="3" t="s">
        <v>190</v>
      </c>
    </row>
    <row r="42" customFormat="false" ht="15" hidden="false" customHeight="false" outlineLevel="0" collapsed="false">
      <c r="A42" s="6" t="s">
        <v>191</v>
      </c>
      <c r="B42" s="2"/>
      <c r="C42" s="2"/>
      <c r="D42" s="25" t="n">
        <v>0.035</v>
      </c>
      <c r="E42" s="25" t="n">
        <v>0.035</v>
      </c>
      <c r="F42" s="25" t="n">
        <v>0.035</v>
      </c>
      <c r="G42" s="25" t="n">
        <v>0.035</v>
      </c>
      <c r="H42" s="25" t="n">
        <v>0.035</v>
      </c>
      <c r="I42" s="25" t="n">
        <v>0.035</v>
      </c>
      <c r="J42" s="3" t="s">
        <v>192</v>
      </c>
    </row>
    <row r="43" customFormat="false" ht="15" hidden="false" customHeight="false" outlineLevel="0" collapsed="false">
      <c r="A43" s="6" t="s">
        <v>193</v>
      </c>
      <c r="B43" s="2"/>
      <c r="C43" s="2"/>
      <c r="D43" s="18" t="n">
        <f aca="false">Historicals!$D$58</f>
        <v>0.192654192654193</v>
      </c>
      <c r="E43" s="18" t="n">
        <f aca="false">Historicals!$D$58</f>
        <v>0.192654192654193</v>
      </c>
      <c r="F43" s="18" t="n">
        <f aca="false">Historicals!$D$58</f>
        <v>0.192654192654193</v>
      </c>
      <c r="G43" s="18" t="n">
        <f aca="false">Historicals!$D$58</f>
        <v>0.192654192654193</v>
      </c>
      <c r="H43" s="18" t="n">
        <f aca="false">Historicals!$D$58</f>
        <v>0.192654192654193</v>
      </c>
      <c r="I43" s="18" t="n">
        <f aca="false">Historicals!$D$58</f>
        <v>0.192654192654193</v>
      </c>
      <c r="J43" s="3" t="s">
        <v>194</v>
      </c>
    </row>
    <row r="44" customFormat="false" ht="15" hidden="false" customHeight="false" outlineLevel="0" collapsed="false">
      <c r="A44" s="6" t="s">
        <v>195</v>
      </c>
      <c r="B44" s="2"/>
      <c r="C44" s="2"/>
      <c r="D44" s="18" t="n">
        <f aca="false">Historicals!$D$59</f>
        <v>0.267190267190267</v>
      </c>
      <c r="E44" s="18" t="n">
        <f aca="false">Historicals!$D$59</f>
        <v>0.267190267190267</v>
      </c>
      <c r="F44" s="18" t="n">
        <f aca="false">Historicals!$D$59</f>
        <v>0.267190267190267</v>
      </c>
      <c r="G44" s="18" t="n">
        <f aca="false">Historicals!$D$59</f>
        <v>0.267190267190267</v>
      </c>
      <c r="H44" s="18" t="n">
        <f aca="false">Historicals!$D$59</f>
        <v>0.267190267190267</v>
      </c>
      <c r="I44" s="18" t="n">
        <f aca="false">Historicals!$D$59</f>
        <v>0.267190267190267</v>
      </c>
      <c r="J44" s="3" t="s">
        <v>194</v>
      </c>
    </row>
    <row r="45" customFormat="false" ht="15" hidden="false" customHeight="false" outlineLevel="0" collapsed="false">
      <c r="A45" s="6" t="s">
        <v>196</v>
      </c>
      <c r="B45" s="2"/>
      <c r="C45" s="2"/>
      <c r="D45" s="18" t="n">
        <f aca="false">Historicals!$D$60</f>
        <v>0.254716254716255</v>
      </c>
      <c r="E45" s="18" t="n">
        <f aca="false">Historicals!$D$60</f>
        <v>0.254716254716255</v>
      </c>
      <c r="F45" s="18" t="n">
        <f aca="false">Historicals!$D$60</f>
        <v>0.254716254716255</v>
      </c>
      <c r="G45" s="18" t="n">
        <f aca="false">Historicals!$D$60</f>
        <v>0.254716254716255</v>
      </c>
      <c r="H45" s="18" t="n">
        <f aca="false">Historicals!$D$60</f>
        <v>0.254716254716255</v>
      </c>
      <c r="I45" s="18" t="n">
        <f aca="false">Historicals!$D$60</f>
        <v>0.254716254716255</v>
      </c>
      <c r="J45" s="3" t="s">
        <v>194</v>
      </c>
    </row>
    <row r="46" customFormat="false" ht="15" hidden="false" customHeight="false" outlineLevel="0" collapsed="false">
      <c r="A46" s="6" t="s">
        <v>197</v>
      </c>
      <c r="B46" s="2"/>
      <c r="C46" s="2"/>
      <c r="D46" s="25" t="n">
        <v>0.25</v>
      </c>
      <c r="E46" s="25" t="n">
        <v>0.25</v>
      </c>
      <c r="F46" s="25" t="n">
        <v>0.25</v>
      </c>
      <c r="G46" s="25" t="n">
        <v>0.25</v>
      </c>
      <c r="H46" s="25" t="n">
        <v>0.25</v>
      </c>
      <c r="I46" s="25" t="n">
        <v>0.25</v>
      </c>
      <c r="J46" s="3" t="s">
        <v>198</v>
      </c>
    </row>
    <row r="47" customFormat="false" ht="15" hidden="false" customHeight="false" outlineLevel="0" collapsed="false">
      <c r="A47" s="6" t="s">
        <v>199</v>
      </c>
      <c r="B47" s="2"/>
      <c r="C47" s="2"/>
      <c r="D47" s="2"/>
      <c r="E47" s="23" t="n">
        <v>20</v>
      </c>
      <c r="F47" s="23" t="n">
        <v>10</v>
      </c>
      <c r="G47" s="23" t="n">
        <v>0</v>
      </c>
      <c r="H47" s="23" t="n">
        <v>0</v>
      </c>
      <c r="I47" s="23" t="n">
        <v>0</v>
      </c>
      <c r="J47" s="3" t="s">
        <v>200</v>
      </c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customFormat="false" ht="15" hidden="false" customHeight="false" outlineLevel="0" collapsed="false">
      <c r="A49" s="13" t="s">
        <v>201</v>
      </c>
      <c r="B49" s="14"/>
      <c r="C49" s="14"/>
      <c r="D49" s="14"/>
      <c r="E49" s="14"/>
      <c r="F49" s="14"/>
      <c r="G49" s="14"/>
      <c r="H49" s="14"/>
      <c r="I49" s="14"/>
      <c r="J49" s="14"/>
    </row>
    <row r="50" customFormat="false" ht="15" hidden="false" customHeight="false" outlineLevel="0" collapsed="false">
      <c r="A50" s="6" t="s">
        <v>202</v>
      </c>
      <c r="B50" s="2"/>
      <c r="C50" s="27" t="n">
        <v>5</v>
      </c>
      <c r="D50" s="2"/>
      <c r="E50" s="2"/>
      <c r="F50" s="2"/>
      <c r="G50" s="2"/>
      <c r="H50" s="2"/>
      <c r="I50" s="2"/>
      <c r="J50" s="3" t="s">
        <v>203</v>
      </c>
    </row>
    <row r="51" customFormat="false" ht="15" hidden="false" customHeight="false" outlineLevel="0" collapsed="false">
      <c r="A51" s="6" t="s">
        <v>204</v>
      </c>
      <c r="B51" s="2"/>
      <c r="C51" s="28" t="n">
        <f aca="false">LBO!C30</f>
        <v>17.5814555909788</v>
      </c>
      <c r="D51" s="2"/>
      <c r="E51" s="2"/>
      <c r="F51" s="2"/>
      <c r="G51" s="2"/>
      <c r="H51" s="2"/>
      <c r="I51" s="2"/>
      <c r="J51" s="3" t="s">
        <v>205</v>
      </c>
    </row>
    <row r="52" customFormat="false" ht="15" hidden="false" customHeight="false" outlineLevel="0" collapsed="false">
      <c r="A52" s="6" t="s">
        <v>206</v>
      </c>
      <c r="B52" s="2"/>
      <c r="C52" s="25" t="n">
        <v>0.046</v>
      </c>
      <c r="D52" s="2"/>
      <c r="E52" s="2"/>
      <c r="F52" s="2"/>
      <c r="G52" s="2"/>
      <c r="H52" s="2"/>
      <c r="I52" s="2"/>
      <c r="J52" s="3" t="s">
        <v>207</v>
      </c>
    </row>
    <row r="53" customFormat="false" ht="15" hidden="false" customHeight="false" outlineLevel="0" collapsed="false">
      <c r="A53" s="6" t="s">
        <v>208</v>
      </c>
      <c r="B53" s="2"/>
      <c r="C53" s="29" t="n">
        <v>1.05</v>
      </c>
      <c r="D53" s="2"/>
      <c r="E53" s="2"/>
      <c r="F53" s="2"/>
      <c r="G53" s="2"/>
      <c r="H53" s="2"/>
      <c r="I53" s="2"/>
      <c r="J53" s="3" t="s">
        <v>209</v>
      </c>
    </row>
    <row r="54" customFormat="false" ht="15" hidden="false" customHeight="false" outlineLevel="0" collapsed="false">
      <c r="A54" s="6" t="s">
        <v>210</v>
      </c>
      <c r="B54" s="2"/>
      <c r="C54" s="25" t="n">
        <v>0.05</v>
      </c>
      <c r="D54" s="2"/>
      <c r="E54" s="2"/>
      <c r="F54" s="2"/>
      <c r="G54" s="2"/>
      <c r="H54" s="2"/>
      <c r="I54" s="2"/>
      <c r="J54" s="3" t="s">
        <v>160</v>
      </c>
    </row>
    <row r="55" customFormat="false" ht="15" hidden="false" customHeight="false" outlineLevel="0" collapsed="false">
      <c r="A55" s="6" t="s">
        <v>211</v>
      </c>
      <c r="B55" s="2"/>
      <c r="C55" s="25" t="n">
        <v>0.05</v>
      </c>
      <c r="D55" s="2"/>
      <c r="E55" s="2"/>
      <c r="F55" s="2"/>
      <c r="G55" s="2"/>
      <c r="H55" s="2"/>
      <c r="I55" s="2"/>
      <c r="J55" s="3" t="s">
        <v>212</v>
      </c>
    </row>
    <row r="56" customFormat="false" ht="15" hidden="false" customHeight="false" outlineLevel="0" collapsed="false">
      <c r="A56" s="6" t="s">
        <v>213</v>
      </c>
      <c r="B56" s="2"/>
      <c r="C56" s="25" t="n">
        <v>0.15</v>
      </c>
      <c r="D56" s="2"/>
      <c r="E56" s="2"/>
      <c r="F56" s="2"/>
      <c r="G56" s="2"/>
      <c r="H56" s="2"/>
      <c r="I56" s="2"/>
      <c r="J56" s="3" t="s">
        <v>214</v>
      </c>
    </row>
    <row r="57" customFormat="false" ht="15" hidden="false" customHeight="false" outlineLevel="0" collapsed="false">
      <c r="A57" s="6" t="s">
        <v>215</v>
      </c>
      <c r="B57" s="2"/>
      <c r="C57" s="25" t="n">
        <v>0.025</v>
      </c>
      <c r="D57" s="2"/>
      <c r="E57" s="2"/>
      <c r="F57" s="2"/>
      <c r="G57" s="2"/>
      <c r="H57" s="2"/>
      <c r="I57" s="2"/>
      <c r="J57" s="3" t="s">
        <v>216</v>
      </c>
    </row>
    <row r="58" customFormat="false" ht="15" hidden="false" customHeight="false" outlineLevel="0" collapsed="false">
      <c r="A58" s="6" t="s">
        <v>217</v>
      </c>
      <c r="B58" s="2"/>
      <c r="C58" s="25" t="n">
        <v>0.15</v>
      </c>
      <c r="D58" s="2"/>
      <c r="E58" s="2"/>
      <c r="F58" s="2"/>
      <c r="G58" s="2"/>
      <c r="H58" s="2"/>
      <c r="I58" s="2"/>
      <c r="J58" s="3" t="s">
        <v>218</v>
      </c>
    </row>
    <row r="59" customFormat="false" ht="15" hidden="false" customHeight="false" outlineLevel="0" collapsed="false">
      <c r="A59" s="6" t="s">
        <v>219</v>
      </c>
      <c r="B59" s="2"/>
      <c r="C59" s="25" t="n">
        <v>0.2</v>
      </c>
      <c r="D59" s="2"/>
      <c r="E59" s="2"/>
      <c r="F59" s="2"/>
      <c r="G59" s="2"/>
      <c r="H59" s="2"/>
      <c r="I59" s="2"/>
      <c r="J59" s="3" t="s">
        <v>218</v>
      </c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customFormat="false" ht="15" hidden="false" customHeight="false" outlineLevel="0" collapsed="false">
      <c r="A61" s="13" t="s">
        <v>220</v>
      </c>
      <c r="B61" s="14"/>
      <c r="C61" s="14"/>
      <c r="D61" s="14"/>
      <c r="E61" s="14"/>
      <c r="F61" s="14"/>
      <c r="G61" s="14"/>
      <c r="H61" s="14"/>
      <c r="I61" s="14"/>
      <c r="J61" s="14"/>
    </row>
    <row r="62" customFormat="false" ht="15" hidden="false" customHeight="false" outlineLevel="0" collapsed="false">
      <c r="A62" s="6" t="s">
        <v>221</v>
      </c>
      <c r="B62" s="2"/>
      <c r="C62" s="15" t="n">
        <v>926.95385</v>
      </c>
      <c r="D62" s="2"/>
      <c r="E62" s="2"/>
      <c r="F62" s="2"/>
      <c r="G62" s="2"/>
      <c r="H62" s="2"/>
      <c r="I62" s="2"/>
      <c r="J62" s="3" t="s">
        <v>57</v>
      </c>
    </row>
    <row r="63" customFormat="false" ht="15" hidden="false" customHeight="false" outlineLevel="0" collapsed="false">
      <c r="A63" s="6" t="s">
        <v>222</v>
      </c>
      <c r="B63" s="2"/>
      <c r="C63" s="25" t="n">
        <v>0.2539</v>
      </c>
      <c r="D63" s="2"/>
      <c r="E63" s="2"/>
      <c r="F63" s="2"/>
      <c r="G63" s="2"/>
      <c r="H63" s="2"/>
      <c r="I63" s="2"/>
      <c r="J63" s="3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"/>
    <col collapsed="false" customWidth="true" hidden="false" outlineLevel="0" max="9" min="3" style="0" width="11"/>
  </cols>
  <sheetData>
    <row r="1" customFormat="false" ht="17.35" hidden="false" customHeight="false" outlineLevel="0" collapsed="false">
      <c r="A1" s="1" t="s">
        <v>223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224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10" t="s">
        <v>77</v>
      </c>
      <c r="B4" s="11"/>
      <c r="C4" s="12" t="s">
        <v>225</v>
      </c>
      <c r="D4" s="12" t="s">
        <v>178</v>
      </c>
      <c r="E4" s="12" t="s">
        <v>179</v>
      </c>
      <c r="F4" s="12" t="s">
        <v>180</v>
      </c>
      <c r="G4" s="12" t="s">
        <v>181</v>
      </c>
      <c r="H4" s="12" t="s">
        <v>182</v>
      </c>
      <c r="I4" s="12" t="s">
        <v>183</v>
      </c>
      <c r="J4" s="2"/>
    </row>
    <row r="5" customFormat="false" ht="15" hidden="false" customHeight="false" outlineLevel="0" collapsed="false">
      <c r="A5" s="13" t="s">
        <v>226</v>
      </c>
      <c r="B5" s="14"/>
      <c r="C5" s="14"/>
      <c r="D5" s="14"/>
      <c r="E5" s="14"/>
      <c r="F5" s="14"/>
      <c r="G5" s="14"/>
      <c r="H5" s="14"/>
      <c r="I5" s="14"/>
      <c r="J5" s="2"/>
    </row>
    <row r="6" customFormat="false" ht="15" hidden="false" customHeight="false" outlineLevel="0" collapsed="false">
      <c r="A6" s="4" t="s">
        <v>81</v>
      </c>
      <c r="B6" s="2"/>
      <c r="C6" s="30" t="n">
        <f aca="false">Historicals!D6</f>
        <v>1298.7</v>
      </c>
      <c r="D6" s="16" t="n">
        <f aca="false">Assumptions!$C$31+(Historicals!D6-Assumptions!$C$32)*(1+Assumptions!$C$33)</f>
        <v>1373.46</v>
      </c>
      <c r="E6" s="16" t="n">
        <f aca="false">D6*(1+Assumptions!E$38)</f>
        <v>1442.133</v>
      </c>
      <c r="F6" s="16" t="n">
        <f aca="false">E6*(1+Assumptions!F$38)</f>
        <v>1514.23965</v>
      </c>
      <c r="G6" s="16" t="n">
        <f aca="false">F6*(1+Assumptions!G$38)</f>
        <v>1589.9516325</v>
      </c>
      <c r="H6" s="16" t="n">
        <f aca="false">G6*(1+Assumptions!H$38)</f>
        <v>1669.449214125</v>
      </c>
      <c r="I6" s="16" t="n">
        <f aca="false">H6*(1+Assumptions!I$38)</f>
        <v>1752.92167483125</v>
      </c>
      <c r="J6" s="2"/>
    </row>
    <row r="7" customFormat="false" ht="15" hidden="false" customHeight="false" outlineLevel="0" collapsed="false">
      <c r="A7" s="6" t="s">
        <v>227</v>
      </c>
      <c r="B7" s="2"/>
      <c r="C7" s="2"/>
      <c r="D7" s="18" t="n">
        <f aca="false">D6/C6-1</f>
        <v>0.0575652575652577</v>
      </c>
      <c r="E7" s="18" t="n">
        <f aca="false">E6/D6-1</f>
        <v>0.05</v>
      </c>
      <c r="F7" s="18" t="n">
        <f aca="false">F6/E6-1</f>
        <v>0.05</v>
      </c>
      <c r="G7" s="18" t="n">
        <f aca="false">G6/F6-1</f>
        <v>0.05</v>
      </c>
      <c r="H7" s="18" t="n">
        <f aca="false">H6/G6-1</f>
        <v>0.05</v>
      </c>
      <c r="I7" s="18" t="n">
        <f aca="false">I6/H6-1</f>
        <v>0.05</v>
      </c>
      <c r="J7" s="2"/>
    </row>
    <row r="8" customFormat="false" ht="15" hidden="false" customHeight="false" outlineLevel="0" collapsed="false">
      <c r="A8" s="6" t="s">
        <v>228</v>
      </c>
      <c r="B8" s="2"/>
      <c r="C8" s="31" t="n">
        <f aca="false">Historicals!D23</f>
        <v>202.6</v>
      </c>
      <c r="D8" s="31" t="n">
        <f aca="false">Assumptions!$C$34</f>
        <v>235.4</v>
      </c>
      <c r="E8" s="17" t="n">
        <f aca="false">E6*Assumptions!E$39</f>
        <v>259.58394</v>
      </c>
      <c r="F8" s="17" t="n">
        <f aca="false">F6*Assumptions!F$39</f>
        <v>287.7055335</v>
      </c>
      <c r="G8" s="17" t="n">
        <f aca="false">G6*Assumptions!G$39</f>
        <v>310.0405683375</v>
      </c>
      <c r="H8" s="17" t="n">
        <f aca="false">H6*Assumptions!H$39</f>
        <v>325.542596754375</v>
      </c>
      <c r="I8" s="17" t="n">
        <f aca="false">I6*Assumptions!I$39</f>
        <v>341.819726592094</v>
      </c>
      <c r="J8" s="2"/>
    </row>
    <row r="9" customFormat="false" ht="15" hidden="false" customHeight="false" outlineLevel="0" collapsed="false">
      <c r="A9" s="6" t="s">
        <v>229</v>
      </c>
      <c r="B9" s="2"/>
      <c r="C9" s="18" t="n">
        <f aca="false">C8/C6</f>
        <v>0.156002156002156</v>
      </c>
      <c r="D9" s="18" t="n">
        <f aca="false">D8/D6</f>
        <v>0.171391958994073</v>
      </c>
      <c r="E9" s="18" t="n">
        <f aca="false">E8/E6</f>
        <v>0.18</v>
      </c>
      <c r="F9" s="18" t="n">
        <f aca="false">F8/F6</f>
        <v>0.19</v>
      </c>
      <c r="G9" s="18" t="n">
        <f aca="false">G8/G6</f>
        <v>0.195</v>
      </c>
      <c r="H9" s="18" t="n">
        <f aca="false">H8/H6</f>
        <v>0.195</v>
      </c>
      <c r="I9" s="18" t="n">
        <f aca="false">I8/I6</f>
        <v>0.195</v>
      </c>
      <c r="J9" s="2"/>
    </row>
    <row r="10" customFormat="false" ht="15" hidden="false" customHeight="false" outlineLevel="0" collapsed="false">
      <c r="A10" s="6" t="s">
        <v>230</v>
      </c>
      <c r="B10" s="2"/>
      <c r="C10" s="31" t="n">
        <f aca="false">Historicals!D24</f>
        <v>36.1</v>
      </c>
      <c r="D10" s="17" t="n">
        <f aca="false">D6*Assumptions!D$40</f>
        <v>39.83034</v>
      </c>
      <c r="E10" s="17" t="n">
        <f aca="false">E6*Assumptions!E$40</f>
        <v>41.821857</v>
      </c>
      <c r="F10" s="17" t="n">
        <f aca="false">F6*Assumptions!F$40</f>
        <v>43.91294985</v>
      </c>
      <c r="G10" s="17" t="n">
        <f aca="false">G6*Assumptions!G$40</f>
        <v>46.1085973425</v>
      </c>
      <c r="H10" s="17" t="n">
        <f aca="false">H6*Assumptions!H$40</f>
        <v>48.414027209625</v>
      </c>
      <c r="I10" s="17" t="n">
        <f aca="false">I6*Assumptions!I$40</f>
        <v>50.8347285701063</v>
      </c>
      <c r="J10" s="2"/>
    </row>
    <row r="11" customFormat="false" ht="15" hidden="false" customHeight="false" outlineLevel="0" collapsed="false">
      <c r="A11" s="6" t="s">
        <v>231</v>
      </c>
      <c r="B11" s="2"/>
      <c r="C11" s="2"/>
      <c r="D11" s="17" t="n">
        <f aca="false">D6*Assumptions!D$41</f>
        <v>16.48152</v>
      </c>
      <c r="E11" s="17" t="n">
        <f aca="false">E6*Assumptions!E$41</f>
        <v>17.305596</v>
      </c>
      <c r="F11" s="17" t="n">
        <f aca="false">F6*Assumptions!F$41</f>
        <v>18.1708758</v>
      </c>
      <c r="G11" s="17" t="n">
        <f aca="false">G6*Assumptions!G$41</f>
        <v>19.07941959</v>
      </c>
      <c r="H11" s="17" t="n">
        <f aca="false">H6*Assumptions!H$41</f>
        <v>20.0333905695</v>
      </c>
      <c r="I11" s="17" t="n">
        <f aca="false">I6*Assumptions!I$41</f>
        <v>21.035060097975</v>
      </c>
      <c r="J11" s="2"/>
    </row>
    <row r="12" customFormat="false" ht="15" hidden="false" customHeight="false" outlineLevel="0" collapsed="false">
      <c r="A12" s="4" t="s">
        <v>98</v>
      </c>
      <c r="B12" s="2"/>
      <c r="C12" s="16" t="n">
        <f aca="false">C8+C10</f>
        <v>238.7</v>
      </c>
      <c r="D12" s="16" t="n">
        <f aca="false">D8+D10</f>
        <v>275.23034</v>
      </c>
      <c r="E12" s="16" t="n">
        <f aca="false">E8+E10</f>
        <v>301.405797</v>
      </c>
      <c r="F12" s="16" t="n">
        <f aca="false">F8+F10</f>
        <v>331.61848335</v>
      </c>
      <c r="G12" s="16" t="n">
        <f aca="false">G8+G10</f>
        <v>356.14916568</v>
      </c>
      <c r="H12" s="16" t="n">
        <f aca="false">H8+H10</f>
        <v>373.956623964</v>
      </c>
      <c r="I12" s="16" t="n">
        <f aca="false">I8+I10</f>
        <v>392.6544551622</v>
      </c>
      <c r="J12" s="2"/>
    </row>
    <row r="13" customFormat="false" ht="15" hidden="false" customHeight="false" outlineLevel="0" collapsed="false">
      <c r="A13" s="6" t="s">
        <v>229</v>
      </c>
      <c r="B13" s="2"/>
      <c r="C13" s="18" t="n">
        <f aca="false">C12/C6</f>
        <v>0.183799183799184</v>
      </c>
      <c r="D13" s="18" t="n">
        <f aca="false">D12/D6</f>
        <v>0.200391958994073</v>
      </c>
      <c r="E13" s="18" t="n">
        <f aca="false">E12/E6</f>
        <v>0.209</v>
      </c>
      <c r="F13" s="18" t="n">
        <f aca="false">F12/F6</f>
        <v>0.219</v>
      </c>
      <c r="G13" s="18" t="n">
        <f aca="false">G12/G6</f>
        <v>0.224</v>
      </c>
      <c r="H13" s="18" t="n">
        <f aca="false">H12/H6</f>
        <v>0.224</v>
      </c>
      <c r="I13" s="18" t="n">
        <f aca="false">I12/I6</f>
        <v>0.224</v>
      </c>
      <c r="J13" s="2"/>
    </row>
    <row r="14" customFormat="false" ht="15" hidden="false" customHeight="false" outlineLevel="0" collapsed="false">
      <c r="A14" s="6" t="s">
        <v>91</v>
      </c>
      <c r="B14" s="2"/>
      <c r="C14" s="2"/>
      <c r="D14" s="2"/>
      <c r="E14" s="17" t="n">
        <f aca="false">-Assumptions!E$47</f>
        <v>-20</v>
      </c>
      <c r="F14" s="17" t="n">
        <f aca="false">-Assumptions!F$47</f>
        <v>-10</v>
      </c>
      <c r="G14" s="17" t="n">
        <f aca="false">-Assumptions!G$47</f>
        <v>-0</v>
      </c>
      <c r="H14" s="17" t="n">
        <f aca="false">-Assumptions!H$47</f>
        <v>-0</v>
      </c>
      <c r="I14" s="17" t="n">
        <f aca="false">-Assumptions!I$47</f>
        <v>-0</v>
      </c>
      <c r="J14" s="2"/>
    </row>
    <row r="15" customFormat="false" ht="15" hidden="false" customHeight="false" outlineLevel="0" collapsed="false">
      <c r="A15" s="6" t="s">
        <v>232</v>
      </c>
      <c r="B15" s="2"/>
      <c r="C15" s="2"/>
      <c r="D15" s="2"/>
      <c r="E15" s="17" t="n">
        <f aca="false">-D30*Assumptions!$C$19</f>
        <v>-97.5</v>
      </c>
      <c r="F15" s="17" t="n">
        <f aca="false">-E30*Assumptions!$C$19</f>
        <v>-93.325518535</v>
      </c>
      <c r="G15" s="17" t="n">
        <f aca="false">-F30*Assumptions!$C$19</f>
        <v>-87.2192501959563</v>
      </c>
      <c r="H15" s="17" t="n">
        <f aca="false">-G30*Assumptions!$C$19</f>
        <v>-79.375622446581</v>
      </c>
      <c r="I15" s="17" t="n">
        <f aca="false">-H30*Assumptions!$C$19</f>
        <v>-70.5373807846023</v>
      </c>
      <c r="J15" s="2"/>
    </row>
    <row r="16" customFormat="false" ht="15" hidden="false" customHeight="false" outlineLevel="0" collapsed="false">
      <c r="A16" s="6" t="s">
        <v>233</v>
      </c>
      <c r="B16" s="2"/>
      <c r="C16" s="2"/>
      <c r="D16" s="2"/>
      <c r="E16" s="17" t="n">
        <f aca="false">-D31*Assumptions!$C$23</f>
        <v>-3.06</v>
      </c>
      <c r="F16" s="17" t="n">
        <f aca="false">-E31*Assumptions!$C$23</f>
        <v>-3.06</v>
      </c>
      <c r="G16" s="17" t="n">
        <f aca="false">-F31*Assumptions!$C$23</f>
        <v>-3.06</v>
      </c>
      <c r="H16" s="17" t="n">
        <f aca="false">-G31*Assumptions!$C$23</f>
        <v>-3.06</v>
      </c>
      <c r="I16" s="17" t="n">
        <f aca="false">-H31*Assumptions!$C$23</f>
        <v>-3.06</v>
      </c>
      <c r="J16" s="2"/>
    </row>
    <row r="17" customFormat="false" ht="15" hidden="false" customHeight="false" outlineLevel="0" collapsed="false">
      <c r="A17" s="4" t="s">
        <v>234</v>
      </c>
      <c r="B17" s="2"/>
      <c r="C17" s="2"/>
      <c r="D17" s="2"/>
      <c r="E17" s="16" t="n">
        <f aca="false">E8+E14+E15+E16</f>
        <v>139.02394</v>
      </c>
      <c r="F17" s="16" t="n">
        <f aca="false">F8+F14+F15+F16</f>
        <v>181.320014965</v>
      </c>
      <c r="G17" s="16" t="n">
        <f aca="false">G8+G14+G15+G16</f>
        <v>219.761318141544</v>
      </c>
      <c r="H17" s="16" t="n">
        <f aca="false">H8+H14+H15+H16</f>
        <v>243.106974307794</v>
      </c>
      <c r="I17" s="16" t="n">
        <f aca="false">I8+I14+I15+I16</f>
        <v>268.222345807492</v>
      </c>
      <c r="J17" s="2"/>
    </row>
    <row r="18" customFormat="false" ht="15" hidden="false" customHeight="false" outlineLevel="0" collapsed="false">
      <c r="A18" s="6" t="s">
        <v>235</v>
      </c>
      <c r="B18" s="2"/>
      <c r="C18" s="2"/>
      <c r="D18" s="2"/>
      <c r="E18" s="17" t="n">
        <f aca="false">-MAX(0,E17)*Assumptions!E$46</f>
        <v>-34.755985</v>
      </c>
      <c r="F18" s="17" t="n">
        <f aca="false">-MAX(0,F17)*Assumptions!F$46</f>
        <v>-45.33000374125</v>
      </c>
      <c r="G18" s="17" t="n">
        <f aca="false">-MAX(0,G17)*Assumptions!G$46</f>
        <v>-54.9403295353859</v>
      </c>
      <c r="H18" s="17" t="n">
        <f aca="false">-MAX(0,H17)*Assumptions!H$46</f>
        <v>-60.7767435769485</v>
      </c>
      <c r="I18" s="17" t="n">
        <f aca="false">-MAX(0,I17)*Assumptions!I$46</f>
        <v>-67.0555864518729</v>
      </c>
      <c r="J18" s="2"/>
    </row>
    <row r="19" customFormat="false" ht="15" hidden="false" customHeight="false" outlineLevel="0" collapsed="false">
      <c r="A19" s="4" t="s">
        <v>236</v>
      </c>
      <c r="B19" s="2"/>
      <c r="C19" s="2"/>
      <c r="D19" s="2"/>
      <c r="E19" s="16" t="n">
        <f aca="false">E17+E18</f>
        <v>104.267955</v>
      </c>
      <c r="F19" s="16" t="n">
        <f aca="false">F17+F18</f>
        <v>135.99001122375</v>
      </c>
      <c r="G19" s="16" t="n">
        <f aca="false">G17+G18</f>
        <v>164.820988606158</v>
      </c>
      <c r="H19" s="16" t="n">
        <f aca="false">H17+H18</f>
        <v>182.330230730846</v>
      </c>
      <c r="I19" s="16" t="n">
        <f aca="false">I17+I18</f>
        <v>201.166759355619</v>
      </c>
      <c r="J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13" t="s">
        <v>237</v>
      </c>
      <c r="B21" s="14"/>
      <c r="C21" s="14"/>
      <c r="D21" s="14"/>
      <c r="E21" s="14"/>
      <c r="F21" s="14"/>
      <c r="G21" s="14"/>
      <c r="H21" s="14"/>
      <c r="I21" s="14"/>
      <c r="J21" s="2"/>
    </row>
    <row r="22" customFormat="false" ht="15" hidden="false" customHeight="false" outlineLevel="0" collapsed="false">
      <c r="A22" s="6" t="s">
        <v>238</v>
      </c>
      <c r="B22" s="2"/>
      <c r="C22" s="31" t="n">
        <f aca="false">Historicals!D38</f>
        <v>105.7</v>
      </c>
      <c r="D22" s="31" t="n">
        <f aca="false">Assumptions!$C$22</f>
        <v>100</v>
      </c>
      <c r="E22" s="17" t="n">
        <f aca="false">D22+E50</f>
        <v>100</v>
      </c>
      <c r="F22" s="17" t="n">
        <f aca="false">E22+F50</f>
        <v>100</v>
      </c>
      <c r="G22" s="17" t="n">
        <f aca="false">F22+G50</f>
        <v>100</v>
      </c>
      <c r="H22" s="17" t="n">
        <f aca="false">G22+H50</f>
        <v>100</v>
      </c>
      <c r="I22" s="17" t="n">
        <f aca="false">H22+I50</f>
        <v>100</v>
      </c>
      <c r="J22" s="2"/>
    </row>
    <row r="23" customFormat="false" ht="15" hidden="false" customHeight="false" outlineLevel="0" collapsed="false">
      <c r="A23" s="6" t="s">
        <v>108</v>
      </c>
      <c r="B23" s="2"/>
      <c r="C23" s="31" t="n">
        <f aca="false">Historicals!D36</f>
        <v>250.2</v>
      </c>
      <c r="D23" s="17" t="n">
        <f aca="false">D6*Assumptions!D$43</f>
        <v>264.602827442827</v>
      </c>
      <c r="E23" s="17" t="n">
        <f aca="false">E6*Assumptions!E$43</f>
        <v>277.832968814969</v>
      </c>
      <c r="F23" s="17" t="n">
        <f aca="false">F6*Assumptions!F$43</f>
        <v>291.724617255717</v>
      </c>
      <c r="G23" s="17" t="n">
        <f aca="false">G6*Assumptions!G$43</f>
        <v>306.310848118503</v>
      </c>
      <c r="H23" s="17" t="n">
        <f aca="false">H6*Assumptions!H$43</f>
        <v>321.626390524428</v>
      </c>
      <c r="I23" s="17" t="n">
        <f aca="false">I6*Assumptions!I$43</f>
        <v>337.70771005065</v>
      </c>
      <c r="J23" s="2"/>
    </row>
    <row r="24" customFormat="false" ht="15" hidden="false" customHeight="false" outlineLevel="0" collapsed="false">
      <c r="A24" s="6" t="s">
        <v>109</v>
      </c>
      <c r="B24" s="2"/>
      <c r="C24" s="31" t="n">
        <f aca="false">Historicals!D37</f>
        <v>347</v>
      </c>
      <c r="D24" s="17" t="n">
        <f aca="false">D6*Assumptions!D$44</f>
        <v>366.975144375144</v>
      </c>
      <c r="E24" s="17" t="n">
        <f aca="false">E6*Assumptions!E$44</f>
        <v>385.323901593902</v>
      </c>
      <c r="F24" s="17" t="n">
        <f aca="false">F6*Assumptions!F$44</f>
        <v>404.590096673597</v>
      </c>
      <c r="G24" s="17" t="n">
        <f aca="false">G6*Assumptions!G$44</f>
        <v>424.819601507277</v>
      </c>
      <c r="H24" s="17" t="n">
        <f aca="false">H6*Assumptions!H$44</f>
        <v>446.06058158264</v>
      </c>
      <c r="I24" s="17" t="n">
        <f aca="false">I6*Assumptions!I$44</f>
        <v>468.363610661772</v>
      </c>
      <c r="J24" s="2"/>
    </row>
    <row r="25" customFormat="false" ht="15" hidden="false" customHeight="false" outlineLevel="0" collapsed="false">
      <c r="A25" s="6" t="s">
        <v>239</v>
      </c>
      <c r="B25" s="2"/>
      <c r="C25" s="31" t="n">
        <f aca="false">Historicals!D33</f>
        <v>171.1</v>
      </c>
      <c r="D25" s="17" t="n">
        <f aca="false">C25+D6*Assumptions!D$42-(D10-D11)</f>
        <v>195.82228</v>
      </c>
      <c r="E25" s="17" t="n">
        <f aca="false">D25-E44-(E10-E11)</f>
        <v>221.780674</v>
      </c>
      <c r="F25" s="17" t="n">
        <f aca="false">E25-F44-(F10-F11)</f>
        <v>249.0369877</v>
      </c>
      <c r="G25" s="17" t="n">
        <f aca="false">F25-G44-(G10-G11)</f>
        <v>277.656117085</v>
      </c>
      <c r="H25" s="17" t="n">
        <f aca="false">G25-H44-(H10-H11)</f>
        <v>307.70620293925</v>
      </c>
      <c r="I25" s="17" t="n">
        <f aca="false">H25-I44-(I10-I11)</f>
        <v>339.258793086213</v>
      </c>
      <c r="J25" s="2"/>
    </row>
    <row r="26" customFormat="false" ht="15" hidden="false" customHeight="false" outlineLevel="0" collapsed="false">
      <c r="A26" s="6" t="s">
        <v>106</v>
      </c>
      <c r="B26" s="2"/>
      <c r="C26" s="31" t="n">
        <f aca="false">Historicals!D34</f>
        <v>71.3</v>
      </c>
      <c r="D26" s="17" t="n">
        <f aca="false">C26</f>
        <v>71.3</v>
      </c>
      <c r="E26" s="17" t="n">
        <f aca="false">D26+E11-E11</f>
        <v>71.3</v>
      </c>
      <c r="F26" s="17" t="n">
        <f aca="false">E26+F11-F11</f>
        <v>71.3</v>
      </c>
      <c r="G26" s="17" t="n">
        <f aca="false">F26+G11-G11</f>
        <v>71.3</v>
      </c>
      <c r="H26" s="17" t="n">
        <f aca="false">G26+H11-H11</f>
        <v>71.3</v>
      </c>
      <c r="I26" s="17" t="n">
        <f aca="false">H26+I11-I11</f>
        <v>71.3</v>
      </c>
      <c r="J26" s="3" t="s">
        <v>240</v>
      </c>
    </row>
    <row r="27" customFormat="false" ht="15" hidden="false" customHeight="false" outlineLevel="0" collapsed="false">
      <c r="A27" s="6" t="s">
        <v>241</v>
      </c>
      <c r="B27" s="2"/>
      <c r="C27" s="2"/>
      <c r="D27" s="17" t="n">
        <f aca="false">D34-SUM(D22:D26)</f>
        <v>4290.09233538462</v>
      </c>
      <c r="E27" s="17" t="n">
        <f aca="false">D27</f>
        <v>4290.09233538462</v>
      </c>
      <c r="F27" s="17" t="n">
        <f aca="false">E27</f>
        <v>4290.09233538462</v>
      </c>
      <c r="G27" s="17" t="n">
        <f aca="false">F27</f>
        <v>4290.09233538462</v>
      </c>
      <c r="H27" s="17" t="n">
        <f aca="false">G27</f>
        <v>4290.09233538462</v>
      </c>
      <c r="I27" s="17" t="n">
        <f aca="false">H27</f>
        <v>4290.09233538462</v>
      </c>
      <c r="J27" s="3" t="s">
        <v>242</v>
      </c>
    </row>
    <row r="28" customFormat="false" ht="15" hidden="false" customHeight="false" outlineLevel="0" collapsed="false">
      <c r="A28" s="4" t="s">
        <v>112</v>
      </c>
      <c r="B28" s="2"/>
      <c r="C28" s="2"/>
      <c r="D28" s="16" t="n">
        <f aca="false">SUM(D22:D27)</f>
        <v>5288.79258720259</v>
      </c>
      <c r="E28" s="16" t="n">
        <f aca="false">SUM(E22:E27)</f>
        <v>5346.32987979349</v>
      </c>
      <c r="F28" s="16" t="n">
        <f aca="false">SUM(F22:F27)</f>
        <v>5406.74403701393</v>
      </c>
      <c r="G28" s="16" t="n">
        <f aca="false">SUM(G22:G27)</f>
        <v>5470.1789020954</v>
      </c>
      <c r="H28" s="16" t="n">
        <f aca="false">SUM(H22:H27)</f>
        <v>5536.78551043094</v>
      </c>
      <c r="I28" s="16" t="n">
        <f aca="false">SUM(I22:I27)</f>
        <v>5606.72244918325</v>
      </c>
      <c r="J28" s="2"/>
    </row>
    <row r="29" customFormat="false" ht="15" hidden="false" customHeight="false" outlineLevel="0" collapsed="false">
      <c r="A29" s="6" t="s">
        <v>113</v>
      </c>
      <c r="B29" s="2"/>
      <c r="C29" s="31" t="n">
        <f aca="false">Historicals!D41</f>
        <v>330.8</v>
      </c>
      <c r="D29" s="17" t="n">
        <f aca="false">D6*Assumptions!D$45</f>
        <v>349.842587202587</v>
      </c>
      <c r="E29" s="17" t="n">
        <f aca="false">E6*Assumptions!E$45</f>
        <v>367.334716562717</v>
      </c>
      <c r="F29" s="17" t="n">
        <f aca="false">F6*Assumptions!F$45</f>
        <v>385.701452390852</v>
      </c>
      <c r="G29" s="17" t="n">
        <f aca="false">G6*Assumptions!G$45</f>
        <v>404.986525010395</v>
      </c>
      <c r="H29" s="17" t="n">
        <f aca="false">H6*Assumptions!H$45</f>
        <v>425.235851260915</v>
      </c>
      <c r="I29" s="17" t="n">
        <f aca="false">I6*Assumptions!I$45</f>
        <v>446.497643823961</v>
      </c>
      <c r="J29" s="2"/>
    </row>
    <row r="30" customFormat="false" ht="15" hidden="false" customHeight="false" outlineLevel="0" collapsed="false">
      <c r="A30" s="6" t="s">
        <v>243</v>
      </c>
      <c r="B30" s="2"/>
      <c r="C30" s="2"/>
      <c r="D30" s="31" t="n">
        <f aca="false">Assumptions!$C$17</f>
        <v>1500</v>
      </c>
      <c r="E30" s="17" t="n">
        <f aca="false">D30+E48+E49</f>
        <v>1435.77720823077</v>
      </c>
      <c r="F30" s="17" t="n">
        <f aca="false">E30+F48+F49</f>
        <v>1341.83461839933</v>
      </c>
      <c r="G30" s="17" t="n">
        <f aca="false">F30+G48+G49</f>
        <v>1221.16342225509</v>
      </c>
      <c r="H30" s="17" t="n">
        <f aca="false">G30+H48+H49</f>
        <v>1085.19047360927</v>
      </c>
      <c r="I30" s="17" t="n">
        <f aca="false">H30+I48+I49</f>
        <v>932.698860442918</v>
      </c>
      <c r="J30" s="2"/>
    </row>
    <row r="31" customFormat="false" ht="15" hidden="false" customHeight="false" outlineLevel="0" collapsed="false">
      <c r="A31" s="6" t="s">
        <v>115</v>
      </c>
      <c r="B31" s="2"/>
      <c r="C31" s="2"/>
      <c r="D31" s="31" t="n">
        <f aca="false">Assumptions!$C$10</f>
        <v>76.5</v>
      </c>
      <c r="E31" s="17" t="n">
        <f aca="false">D31+E11-E11</f>
        <v>76.5</v>
      </c>
      <c r="F31" s="17" t="n">
        <f aca="false">E31+F11-F11</f>
        <v>76.5</v>
      </c>
      <c r="G31" s="17" t="n">
        <f aca="false">F31+G11-G11</f>
        <v>76.5</v>
      </c>
      <c r="H31" s="17" t="n">
        <f aca="false">G31+H11-H11</f>
        <v>76.5</v>
      </c>
      <c r="I31" s="17" t="n">
        <f aca="false">H31+I11-I11</f>
        <v>76.5</v>
      </c>
      <c r="J31" s="2"/>
    </row>
    <row r="32" customFormat="false" ht="15" hidden="false" customHeight="false" outlineLevel="0" collapsed="false">
      <c r="A32" s="6" t="s">
        <v>244</v>
      </c>
      <c r="B32" s="2"/>
      <c r="C32" s="2"/>
      <c r="D32" s="31" t="n">
        <f aca="false">LBO!C17-LBO!C11</f>
        <v>3362.45</v>
      </c>
      <c r="E32" s="17" t="n">
        <f aca="false">D32+E19</f>
        <v>3466.717955</v>
      </c>
      <c r="F32" s="17" t="n">
        <f aca="false">E32+F19</f>
        <v>3602.70796622375</v>
      </c>
      <c r="G32" s="17" t="n">
        <f aca="false">F32+G19</f>
        <v>3767.52895482991</v>
      </c>
      <c r="H32" s="17" t="n">
        <f aca="false">G32+H19</f>
        <v>3949.85918556075</v>
      </c>
      <c r="I32" s="17" t="n">
        <f aca="false">H32+I19</f>
        <v>4151.02594491637</v>
      </c>
      <c r="J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5" hidden="false" customHeight="false" outlineLevel="0" collapsed="false">
      <c r="A34" s="4" t="s">
        <v>118</v>
      </c>
      <c r="B34" s="2"/>
      <c r="C34" s="2"/>
      <c r="D34" s="16" t="n">
        <f aca="false">SUM(D29:D32)</f>
        <v>5288.79258720259</v>
      </c>
      <c r="E34" s="16" t="n">
        <f aca="false">SUM(E29:E32)</f>
        <v>5346.32987979349</v>
      </c>
      <c r="F34" s="16" t="n">
        <f aca="false">SUM(F29:F32)</f>
        <v>5406.74403701393</v>
      </c>
      <c r="G34" s="16" t="n">
        <f aca="false">SUM(G29:G32)</f>
        <v>5470.1789020954</v>
      </c>
      <c r="H34" s="16" t="n">
        <f aca="false">SUM(H29:H32)</f>
        <v>5536.78551043093</v>
      </c>
      <c r="I34" s="16" t="n">
        <f aca="false">SUM(I29:I32)</f>
        <v>5606.72244918325</v>
      </c>
      <c r="J34" s="2"/>
    </row>
    <row r="35" customFormat="false" ht="15" hidden="false" customHeight="false" outlineLevel="0" collapsed="false">
      <c r="A35" s="6" t="s">
        <v>245</v>
      </c>
      <c r="B35" s="2"/>
      <c r="C35" s="2"/>
      <c r="D35" s="19" t="n">
        <f aca="false">ROUND(D28-D34,3)</f>
        <v>0</v>
      </c>
      <c r="E35" s="19" t="n">
        <f aca="false">ROUND(E28-E34,3)</f>
        <v>0</v>
      </c>
      <c r="F35" s="19" t="n">
        <f aca="false">ROUND(F28-F34,3)</f>
        <v>0</v>
      </c>
      <c r="G35" s="19" t="n">
        <f aca="false">ROUND(G28-G34,3)</f>
        <v>0</v>
      </c>
      <c r="H35" s="19" t="n">
        <f aca="false">ROUND(H28-H34,3)</f>
        <v>0</v>
      </c>
      <c r="I35" s="19" t="n">
        <f aca="false">ROUND(I28-I34,3)</f>
        <v>0</v>
      </c>
      <c r="J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customFormat="false" ht="15" hidden="false" customHeight="false" outlineLevel="0" collapsed="false">
      <c r="A37" s="13" t="s">
        <v>246</v>
      </c>
      <c r="B37" s="14"/>
      <c r="C37" s="14"/>
      <c r="D37" s="14"/>
      <c r="E37" s="14"/>
      <c r="F37" s="14"/>
      <c r="G37" s="14"/>
      <c r="H37" s="14"/>
      <c r="I37" s="14"/>
      <c r="J37" s="2"/>
    </row>
    <row r="38" customFormat="false" ht="15" hidden="false" customHeight="false" outlineLevel="0" collapsed="false">
      <c r="A38" s="6" t="s">
        <v>236</v>
      </c>
      <c r="B38" s="2"/>
      <c r="C38" s="2"/>
      <c r="D38" s="2"/>
      <c r="E38" s="17" t="n">
        <f aca="false">E19</f>
        <v>104.267955</v>
      </c>
      <c r="F38" s="17" t="n">
        <f aca="false">F19</f>
        <v>135.99001122375</v>
      </c>
      <c r="G38" s="17" t="n">
        <f aca="false">G19</f>
        <v>164.820988606158</v>
      </c>
      <c r="H38" s="17" t="n">
        <f aca="false">H19</f>
        <v>182.330230730846</v>
      </c>
      <c r="I38" s="17" t="n">
        <f aca="false">I19</f>
        <v>201.166759355619</v>
      </c>
      <c r="J38" s="2"/>
    </row>
    <row r="39" customFormat="false" ht="15" hidden="false" customHeight="false" outlineLevel="0" collapsed="false">
      <c r="A39" s="6" t="s">
        <v>247</v>
      </c>
      <c r="B39" s="2"/>
      <c r="C39" s="2"/>
      <c r="D39" s="2"/>
      <c r="E39" s="17" t="n">
        <f aca="false">E10</f>
        <v>41.821857</v>
      </c>
      <c r="F39" s="17" t="n">
        <f aca="false">F10</f>
        <v>43.91294985</v>
      </c>
      <c r="G39" s="17" t="n">
        <f aca="false">G10</f>
        <v>46.1085973425</v>
      </c>
      <c r="H39" s="17" t="n">
        <f aca="false">H10</f>
        <v>48.414027209625</v>
      </c>
      <c r="I39" s="17" t="n">
        <f aca="false">I10</f>
        <v>50.8347285701063</v>
      </c>
      <c r="J39" s="2"/>
    </row>
    <row r="40" customFormat="false" ht="15" hidden="false" customHeight="false" outlineLevel="0" collapsed="false">
      <c r="A40" s="6" t="s">
        <v>248</v>
      </c>
      <c r="B40" s="2"/>
      <c r="C40" s="2"/>
      <c r="D40" s="2"/>
      <c r="E40" s="17" t="n">
        <f aca="false">-((E23+E24-E29)-(D23+D24-D29))</f>
        <v>-14.0867692307693</v>
      </c>
      <c r="F40" s="17" t="n">
        <f aca="false">-((F23+F24-F29)-(E23+E24-E29))</f>
        <v>-14.7911076923077</v>
      </c>
      <c r="G40" s="17" t="n">
        <f aca="false">-((G23+G24-G29)-(F23+F24-F29))</f>
        <v>-15.5306630769231</v>
      </c>
      <c r="H40" s="17" t="n">
        <f aca="false">-((H23+H24-H29)-(G23+G24-G29))</f>
        <v>-16.3071962307693</v>
      </c>
      <c r="I40" s="17" t="n">
        <f aca="false">-((I23+I24-I29)-(H23+H24-H29))</f>
        <v>-17.1225560423078</v>
      </c>
      <c r="J40" s="2"/>
    </row>
    <row r="41" customFormat="false" ht="15" hidden="false" customHeight="false" outlineLevel="0" collapsed="false">
      <c r="A41" s="4" t="s">
        <v>249</v>
      </c>
      <c r="B41" s="2"/>
      <c r="C41" s="2"/>
      <c r="D41" s="2"/>
      <c r="E41" s="16" t="n">
        <f aca="false">SUM(E38:E40)</f>
        <v>132.003042769231</v>
      </c>
      <c r="F41" s="16" t="n">
        <f aca="false">SUM(F38:F40)</f>
        <v>165.111853381442</v>
      </c>
      <c r="G41" s="16" t="n">
        <f aca="false">SUM(G38:G40)</f>
        <v>195.398922871735</v>
      </c>
      <c r="H41" s="16" t="n">
        <f aca="false">SUM(H38:H40)</f>
        <v>214.437061709701</v>
      </c>
      <c r="I41" s="16" t="n">
        <f aca="false">SUM(I38:I40)</f>
        <v>234.878931883417</v>
      </c>
      <c r="J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customFormat="false" ht="15" hidden="false" customHeight="false" outlineLevel="0" collapsed="false">
      <c r="A44" s="6" t="s">
        <v>250</v>
      </c>
      <c r="B44" s="2"/>
      <c r="C44" s="2"/>
      <c r="D44" s="2"/>
      <c r="E44" s="17" t="n">
        <f aca="false">-E6*Assumptions!E$42</f>
        <v>-50.474655</v>
      </c>
      <c r="F44" s="17" t="n">
        <f aca="false">-F6*Assumptions!F$42</f>
        <v>-52.99838775</v>
      </c>
      <c r="G44" s="17" t="n">
        <f aca="false">-G6*Assumptions!G$42</f>
        <v>-55.6483071375</v>
      </c>
      <c r="H44" s="17" t="n">
        <f aca="false">-H6*Assumptions!H$42</f>
        <v>-58.430722494375</v>
      </c>
      <c r="I44" s="17" t="n">
        <f aca="false">-I6*Assumptions!I$42</f>
        <v>-61.3522586190938</v>
      </c>
      <c r="J44" s="2"/>
    </row>
    <row r="45" customFormat="false" ht="15" hidden="false" customHeight="false" outlineLevel="0" collapsed="false">
      <c r="A45" s="4" t="s">
        <v>251</v>
      </c>
      <c r="B45" s="2"/>
      <c r="C45" s="2"/>
      <c r="D45" s="2"/>
      <c r="E45" s="16" t="n">
        <f aca="false">E44</f>
        <v>-50.474655</v>
      </c>
      <c r="F45" s="16" t="n">
        <f aca="false">F44</f>
        <v>-52.99838775</v>
      </c>
      <c r="G45" s="16" t="n">
        <f aca="false">G44</f>
        <v>-55.6483071375</v>
      </c>
      <c r="H45" s="16" t="n">
        <f aca="false">H44</f>
        <v>-58.430722494375</v>
      </c>
      <c r="I45" s="16" t="n">
        <f aca="false">I44</f>
        <v>-61.3522586190938</v>
      </c>
      <c r="J45" s="2"/>
    </row>
    <row r="46" customFormat="false" ht="15" hidden="false" customHeight="false" outlineLevel="0" collapsed="false">
      <c r="A46" s="6" t="s">
        <v>252</v>
      </c>
      <c r="B46" s="2"/>
      <c r="C46" s="2"/>
      <c r="D46" s="2"/>
      <c r="E46" s="17" t="n">
        <f aca="false">-E11</f>
        <v>-17.305596</v>
      </c>
      <c r="F46" s="17" t="n">
        <f aca="false">-F11</f>
        <v>-18.1708758</v>
      </c>
      <c r="G46" s="17" t="n">
        <f aca="false">-G11</f>
        <v>-19.07941959</v>
      </c>
      <c r="H46" s="17" t="n">
        <f aca="false">-H11</f>
        <v>-20.0333905695</v>
      </c>
      <c r="I46" s="17" t="n">
        <f aca="false">-I11</f>
        <v>-21.035060097975</v>
      </c>
      <c r="J46" s="2"/>
    </row>
    <row r="47" customFormat="false" ht="15" hidden="false" customHeight="false" outlineLevel="0" collapsed="false">
      <c r="A47" s="4" t="s">
        <v>253</v>
      </c>
      <c r="B47" s="2"/>
      <c r="C47" s="2"/>
      <c r="D47" s="2"/>
      <c r="E47" s="16" t="n">
        <f aca="false">E41+E45+E46</f>
        <v>64.2227917692306</v>
      </c>
      <c r="F47" s="16" t="n">
        <f aca="false">F41+F45+F46</f>
        <v>93.9425898314424</v>
      </c>
      <c r="G47" s="16" t="n">
        <f aca="false">G41+G45+G46</f>
        <v>120.671196144235</v>
      </c>
      <c r="H47" s="16" t="n">
        <f aca="false">H41+H45+H46</f>
        <v>135.972948645826</v>
      </c>
      <c r="I47" s="16" t="n">
        <f aca="false">I41+I45+I46</f>
        <v>152.491613166348</v>
      </c>
      <c r="J47" s="2"/>
    </row>
    <row r="48" customFormat="false" ht="15" hidden="false" customHeight="false" outlineLevel="0" collapsed="false">
      <c r="A48" s="6" t="s">
        <v>254</v>
      </c>
      <c r="B48" s="2"/>
      <c r="C48" s="2"/>
      <c r="D48" s="2"/>
      <c r="E48" s="17" t="n">
        <f aca="false">-MIN(D30,Assumptions!$C$20*Assumptions!$C$17)</f>
        <v>-15</v>
      </c>
      <c r="F48" s="17" t="n">
        <f aca="false">-MIN(E30,Assumptions!$C$20*Assumptions!$C$17)</f>
        <v>-15</v>
      </c>
      <c r="G48" s="17" t="n">
        <f aca="false">-MIN(F30,Assumptions!$C$20*Assumptions!$C$17)</f>
        <v>-15</v>
      </c>
      <c r="H48" s="17" t="n">
        <f aca="false">-MIN(G30,Assumptions!$C$20*Assumptions!$C$17)</f>
        <v>-15</v>
      </c>
      <c r="I48" s="17" t="n">
        <f aca="false">-MIN(H30,Assumptions!$C$20*Assumptions!$C$17)</f>
        <v>-15</v>
      </c>
      <c r="J48" s="2"/>
    </row>
    <row r="49" customFormat="false" ht="15" hidden="false" customHeight="false" outlineLevel="0" collapsed="false">
      <c r="A49" s="6" t="s">
        <v>255</v>
      </c>
      <c r="B49" s="2"/>
      <c r="C49" s="2"/>
      <c r="D49" s="2"/>
      <c r="E49" s="17" t="n">
        <f aca="false">-MAX(0,MIN((D22+E47+E48-Assumptions!$C$22)*Assumptions!$C$21,D30+E48))</f>
        <v>-49.2227917692306</v>
      </c>
      <c r="F49" s="17" t="n">
        <f aca="false">-MAX(0,MIN((E22+F47+F48-Assumptions!$C$22)*Assumptions!$C$21,E30+F48))</f>
        <v>-78.9425898314424</v>
      </c>
      <c r="G49" s="17" t="n">
        <f aca="false">-MAX(0,MIN((F22+G47+G48-Assumptions!$C$22)*Assumptions!$C$21,F30+G48))</f>
        <v>-105.671196144235</v>
      </c>
      <c r="H49" s="17" t="n">
        <f aca="false">-MAX(0,MIN((G22+H47+H48-Assumptions!$C$22)*Assumptions!$C$21,G30+H48))</f>
        <v>-120.972948645826</v>
      </c>
      <c r="I49" s="17" t="n">
        <f aca="false">-MAX(0,MIN((H22+I47+I48-Assumptions!$C$22)*Assumptions!$C$21,H30+I48))</f>
        <v>-137.491613166348</v>
      </c>
      <c r="J49" s="2"/>
    </row>
    <row r="50" customFormat="false" ht="15" hidden="false" customHeight="false" outlineLevel="0" collapsed="false">
      <c r="A50" s="4" t="s">
        <v>256</v>
      </c>
      <c r="B50" s="2"/>
      <c r="C50" s="2"/>
      <c r="D50" s="2"/>
      <c r="E50" s="16" t="n">
        <f aca="false">E47+E48+E49</f>
        <v>0</v>
      </c>
      <c r="F50" s="16" t="n">
        <f aca="false">F47+F48+F49</f>
        <v>0</v>
      </c>
      <c r="G50" s="16" t="n">
        <f aca="false">G47+G48+G49</f>
        <v>0</v>
      </c>
      <c r="H50" s="16" t="n">
        <f aca="false">H47+H48+H49</f>
        <v>0</v>
      </c>
      <c r="I50" s="16" t="n">
        <f aca="false">I47+I48+I49</f>
        <v>0</v>
      </c>
      <c r="J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customFormat="false" ht="15" hidden="false" customHeight="false" outlineLevel="0" collapsed="false">
      <c r="A52" s="13" t="s">
        <v>257</v>
      </c>
      <c r="B52" s="14"/>
      <c r="C52" s="14"/>
      <c r="D52" s="14"/>
      <c r="E52" s="14"/>
      <c r="F52" s="14"/>
      <c r="G52" s="14"/>
      <c r="H52" s="14"/>
      <c r="I52" s="14"/>
      <c r="J52" s="2"/>
    </row>
    <row r="53" customFormat="false" ht="15" hidden="false" customHeight="false" outlineLevel="0" collapsed="false">
      <c r="A53" s="6" t="s">
        <v>258</v>
      </c>
      <c r="B53" s="2"/>
      <c r="C53" s="2"/>
      <c r="D53" s="17" t="n">
        <f aca="false">D30-D22</f>
        <v>1400</v>
      </c>
      <c r="E53" s="17" t="n">
        <f aca="false">E30-E22</f>
        <v>1335.77720823077</v>
      </c>
      <c r="F53" s="17" t="n">
        <f aca="false">F30-F22</f>
        <v>1241.83461839933</v>
      </c>
      <c r="G53" s="17" t="n">
        <f aca="false">G30-G22</f>
        <v>1121.16342225509</v>
      </c>
      <c r="H53" s="17" t="n">
        <f aca="false">H30-H22</f>
        <v>985.190473609266</v>
      </c>
      <c r="I53" s="17" t="n">
        <f aca="false">I30-I22</f>
        <v>832.698860442918</v>
      </c>
      <c r="J53" s="2"/>
    </row>
    <row r="54" customFormat="false" ht="15" hidden="false" customHeight="false" outlineLevel="0" collapsed="false">
      <c r="A54" s="6" t="s">
        <v>259</v>
      </c>
      <c r="B54" s="2"/>
      <c r="C54" s="2"/>
      <c r="D54" s="32" t="n">
        <f aca="false">D53/D12</f>
        <v>5.08664851411367</v>
      </c>
      <c r="E54" s="32" t="n">
        <f aca="false">E53/E12</f>
        <v>4.43182321483608</v>
      </c>
      <c r="F54" s="32" t="n">
        <f aca="false">F53/F12</f>
        <v>3.74476900640263</v>
      </c>
      <c r="G54" s="32" t="n">
        <f aca="false">G53/G12</f>
        <v>3.14801642203609</v>
      </c>
      <c r="H54" s="32" t="n">
        <f aca="false">H53/H12</f>
        <v>2.6345046737402</v>
      </c>
      <c r="I54" s="32" t="n">
        <f aca="false">I53/I12</f>
        <v>2.12069123244493</v>
      </c>
      <c r="J54" s="2"/>
    </row>
    <row r="55" customFormat="false" ht="15" hidden="false" customHeight="false" outlineLevel="0" collapsed="false">
      <c r="A55" s="6" t="s">
        <v>260</v>
      </c>
      <c r="B55" s="2"/>
      <c r="C55" s="2"/>
      <c r="D55" s="2"/>
      <c r="E55" s="32" t="n">
        <f aca="false">-E12/E15</f>
        <v>3.09134150769231</v>
      </c>
      <c r="F55" s="32" t="n">
        <f aca="false">-F12/F15</f>
        <v>3.5533527009082</v>
      </c>
      <c r="G55" s="32" t="n">
        <f aca="false">-G12/G15</f>
        <v>4.08337797997388</v>
      </c>
      <c r="H55" s="32" t="n">
        <f aca="false">-H12/H15</f>
        <v>4.71122760915254</v>
      </c>
      <c r="I55" s="32" t="n">
        <f aca="false">-I12/I15</f>
        <v>5.5666151875023</v>
      </c>
      <c r="J55" s="2"/>
    </row>
    <row r="56" customFormat="false" ht="15" hidden="false" customHeight="false" outlineLevel="0" collapsed="false">
      <c r="A56" s="6" t="s">
        <v>261</v>
      </c>
      <c r="B56" s="2"/>
      <c r="C56" s="2"/>
      <c r="D56" s="2"/>
      <c r="E56" s="17" t="n">
        <f aca="false">Assumptions!$C$17-E30</f>
        <v>64.2227917692308</v>
      </c>
      <c r="F56" s="17" t="n">
        <f aca="false">Assumptions!$C$17-F30</f>
        <v>158.165381600673</v>
      </c>
      <c r="G56" s="17" t="n">
        <f aca="false">Assumptions!$C$17-G30</f>
        <v>278.836577744908</v>
      </c>
      <c r="H56" s="17" t="n">
        <f aca="false">Assumptions!$C$17-H30</f>
        <v>414.809526390734</v>
      </c>
      <c r="I56" s="17" t="n">
        <f aca="false">Assumptions!$C$17-I30</f>
        <v>567.301139557083</v>
      </c>
      <c r="J5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9"/>
    <col collapsed="false" customWidth="true" hidden="false" outlineLevel="0" max="8" min="3" style="0" width="13"/>
  </cols>
  <sheetData>
    <row r="1" customFormat="false" ht="17.35" hidden="false" customHeight="false" outlineLevel="0" collapsed="false">
      <c r="A1" s="1" t="s">
        <v>262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263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13" t="s">
        <v>264</v>
      </c>
      <c r="B4" s="14"/>
      <c r="C4" s="14"/>
      <c r="D4" s="14"/>
      <c r="E4" s="14"/>
      <c r="F4" s="14"/>
      <c r="G4" s="14"/>
      <c r="H4" s="14"/>
    </row>
    <row r="5" customFormat="false" ht="15" hidden="false" customHeight="false" outlineLevel="0" collapsed="false">
      <c r="A5" s="6" t="s">
        <v>265</v>
      </c>
      <c r="B5" s="2"/>
      <c r="C5" s="17" t="n">
        <f aca="false">Assumptions!$C$6*Assumptions!$C$8</f>
        <v>4216.75</v>
      </c>
      <c r="D5" s="2"/>
      <c r="E5" s="2"/>
      <c r="F5" s="2"/>
      <c r="G5" s="2"/>
      <c r="H5" s="2"/>
    </row>
    <row r="6" customFormat="false" ht="15" hidden="false" customHeight="false" outlineLevel="0" collapsed="false">
      <c r="A6" s="6" t="s">
        <v>266</v>
      </c>
      <c r="B6" s="2"/>
      <c r="C6" s="31" t="n">
        <f aca="false">Assumptions!$C$9</f>
        <v>545.7</v>
      </c>
      <c r="D6" s="2"/>
      <c r="E6" s="2"/>
      <c r="F6" s="2"/>
      <c r="G6" s="2"/>
      <c r="H6" s="2"/>
    </row>
    <row r="7" customFormat="false" ht="15" hidden="false" customHeight="false" outlineLevel="0" collapsed="false">
      <c r="A7" s="6" t="s">
        <v>267</v>
      </c>
      <c r="B7" s="2"/>
      <c r="C7" s="17" t="n">
        <f aca="false">Assumptions!$C$26*(Assumptions!$C$6-Assumptions!$C$7)*Assumptions!$C$8</f>
        <v>20.94235</v>
      </c>
      <c r="D7" s="2"/>
      <c r="E7" s="2"/>
      <c r="F7" s="2"/>
      <c r="G7" s="2"/>
      <c r="H7" s="2"/>
    </row>
    <row r="8" customFormat="false" ht="15" hidden="false" customHeight="false" outlineLevel="0" collapsed="false">
      <c r="A8" s="6" t="s">
        <v>268</v>
      </c>
      <c r="B8" s="2"/>
      <c r="C8" s="17" t="n">
        <f aca="false">Assumptions!$C$27*Assumptions!$C$17</f>
        <v>37.5</v>
      </c>
      <c r="D8" s="2"/>
      <c r="E8" s="2"/>
      <c r="F8" s="2"/>
      <c r="G8" s="2"/>
      <c r="H8" s="2"/>
    </row>
    <row r="9" customFormat="false" ht="15" hidden="false" customHeight="false" outlineLevel="0" collapsed="false">
      <c r="A9" s="6" t="s">
        <v>269</v>
      </c>
      <c r="B9" s="2"/>
      <c r="C9" s="31" t="n">
        <f aca="false">Assumptions!$C$28</f>
        <v>60</v>
      </c>
      <c r="D9" s="2"/>
      <c r="E9" s="2"/>
      <c r="F9" s="2"/>
      <c r="G9" s="2"/>
      <c r="H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</row>
    <row r="11" customFormat="false" ht="15" hidden="false" customHeight="false" outlineLevel="0" collapsed="false">
      <c r="A11" s="4" t="s">
        <v>270</v>
      </c>
      <c r="B11" s="2"/>
      <c r="C11" s="16" t="n">
        <f aca="false">SUM(C7:C9)</f>
        <v>118.44235</v>
      </c>
      <c r="D11" s="2"/>
      <c r="E11" s="2"/>
      <c r="F11" s="2"/>
      <c r="G11" s="2"/>
      <c r="H11" s="2"/>
    </row>
    <row r="12" customFormat="false" ht="15" hidden="false" customHeight="false" outlineLevel="0" collapsed="false">
      <c r="A12" s="6" t="s">
        <v>271</v>
      </c>
      <c r="B12" s="2"/>
      <c r="C12" s="31" t="n">
        <f aca="false">Assumptions!$C$22</f>
        <v>100</v>
      </c>
      <c r="D12" s="2"/>
      <c r="E12" s="2"/>
      <c r="F12" s="2"/>
      <c r="G12" s="2"/>
      <c r="H12" s="2"/>
    </row>
    <row r="13" customFormat="false" ht="15" hidden="false" customHeight="false" outlineLevel="0" collapsed="false">
      <c r="A13" s="4" t="s">
        <v>272</v>
      </c>
      <c r="B13" s="2"/>
      <c r="C13" s="33" t="n">
        <f aca="false">C5+C6+C11+C12</f>
        <v>4980.89235</v>
      </c>
      <c r="D13" s="2"/>
      <c r="E13" s="2"/>
      <c r="F13" s="2"/>
      <c r="G13" s="2"/>
      <c r="H13" s="2"/>
    </row>
    <row r="14" customFormat="false" ht="15" hidden="false" customHeight="false" outlineLevel="0" collapsed="false">
      <c r="A14" s="13" t="s">
        <v>273</v>
      </c>
      <c r="B14" s="14"/>
      <c r="C14" s="14"/>
      <c r="D14" s="14"/>
      <c r="E14" s="14"/>
      <c r="F14" s="14"/>
      <c r="G14" s="14"/>
      <c r="H14" s="14"/>
    </row>
    <row r="15" customFormat="false" ht="15" hidden="false" customHeight="false" outlineLevel="0" collapsed="false">
      <c r="A15" s="6" t="s">
        <v>243</v>
      </c>
      <c r="B15" s="2"/>
      <c r="C15" s="31" t="n">
        <f aca="false">Assumptions!$C$17</f>
        <v>1500</v>
      </c>
      <c r="D15" s="18" t="n">
        <f aca="false">C15/C18</f>
        <v>0.301150857034684</v>
      </c>
      <c r="E15" s="2"/>
      <c r="F15" s="2"/>
      <c r="G15" s="2"/>
      <c r="H15" s="2"/>
    </row>
    <row r="16" customFormat="false" ht="15" hidden="false" customHeight="false" outlineLevel="0" collapsed="false">
      <c r="A16" s="6" t="s">
        <v>274</v>
      </c>
      <c r="B16" s="2"/>
      <c r="C16" s="15" t="n">
        <v>0</v>
      </c>
      <c r="D16" s="2"/>
      <c r="E16" s="2"/>
      <c r="F16" s="2"/>
      <c r="G16" s="2"/>
      <c r="H16" s="2"/>
    </row>
    <row r="17" customFormat="false" ht="15" hidden="false" customHeight="false" outlineLevel="0" collapsed="false">
      <c r="A17" s="4" t="s">
        <v>275</v>
      </c>
      <c r="B17" s="2"/>
      <c r="C17" s="34" t="n">
        <f aca="false">C13-C15-C16</f>
        <v>3480.89235</v>
      </c>
      <c r="D17" s="18" t="n">
        <f aca="false">C17/C18</f>
        <v>0.698849142965316</v>
      </c>
      <c r="E17" s="2"/>
      <c r="F17" s="2"/>
      <c r="G17" s="2"/>
      <c r="H17" s="2"/>
    </row>
    <row r="18" customFormat="false" ht="15" hidden="false" customHeight="false" outlineLevel="0" collapsed="false">
      <c r="A18" s="4" t="s">
        <v>276</v>
      </c>
      <c r="B18" s="2"/>
      <c r="C18" s="33" t="n">
        <f aca="false">C15+C16+C17</f>
        <v>4980.89235</v>
      </c>
      <c r="D18" s="2"/>
      <c r="E18" s="2"/>
      <c r="F18" s="2"/>
      <c r="G18" s="2"/>
      <c r="H18" s="2"/>
    </row>
    <row r="19" customFormat="false" ht="15" hidden="false" customHeight="false" outlineLevel="0" collapsed="false">
      <c r="A19" s="6" t="s">
        <v>277</v>
      </c>
      <c r="B19" s="2"/>
      <c r="C19" s="19" t="n">
        <f aca="false">ROUND(C18-C13,3)</f>
        <v>0</v>
      </c>
      <c r="D19" s="2"/>
      <c r="E19" s="2"/>
      <c r="F19" s="2"/>
      <c r="G19" s="2"/>
      <c r="H19" s="2"/>
    </row>
    <row r="20" customFormat="false" ht="15" hidden="false" customHeight="false" outlineLevel="0" collapsed="false">
      <c r="A20" s="6" t="s">
        <v>278</v>
      </c>
      <c r="B20" s="2"/>
      <c r="C20" s="17" t="n">
        <f aca="false">Assumptions!$C$62/Assumptions!$C$63</f>
        <v>3650.86195352501</v>
      </c>
      <c r="D20" s="2"/>
      <c r="E20" s="3" t="s">
        <v>279</v>
      </c>
      <c r="F20" s="2"/>
      <c r="G20" s="2"/>
      <c r="H20" s="2"/>
    </row>
    <row r="21" customFormat="false" ht="15" hidden="false" customHeight="false" outlineLevel="0" collapsed="false">
      <c r="A21" s="6" t="s">
        <v>280</v>
      </c>
      <c r="B21" s="2"/>
      <c r="C21" s="18" t="n">
        <f aca="false">C17/C20-1</f>
        <v>-0.0465560203833232</v>
      </c>
      <c r="D21" s="2"/>
      <c r="E21" s="2"/>
      <c r="F21" s="2"/>
      <c r="G21" s="2"/>
      <c r="H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</row>
    <row r="23" customFormat="false" ht="15" hidden="false" customHeight="false" outlineLevel="0" collapsed="false">
      <c r="A23" s="13" t="s">
        <v>281</v>
      </c>
      <c r="B23" s="14"/>
      <c r="C23" s="14"/>
      <c r="D23" s="14"/>
      <c r="E23" s="14"/>
      <c r="F23" s="14"/>
      <c r="G23" s="14"/>
      <c r="H23" s="14"/>
    </row>
    <row r="24" customFormat="false" ht="15" hidden="false" customHeight="false" outlineLevel="0" collapsed="false">
      <c r="A24" s="6" t="s">
        <v>282</v>
      </c>
      <c r="B24" s="2"/>
      <c r="C24" s="17" t="n">
        <f aca="false">C5</f>
        <v>4216.75</v>
      </c>
      <c r="D24" s="2"/>
      <c r="E24" s="2"/>
      <c r="F24" s="2"/>
      <c r="G24" s="2"/>
      <c r="H24" s="2"/>
    </row>
    <row r="25" customFormat="false" ht="15" hidden="false" customHeight="false" outlineLevel="0" collapsed="false">
      <c r="A25" s="6" t="s">
        <v>283</v>
      </c>
      <c r="B25" s="2"/>
      <c r="C25" s="17" t="n">
        <f aca="false">C6</f>
        <v>545.7</v>
      </c>
      <c r="D25" s="2"/>
      <c r="E25" s="2"/>
      <c r="F25" s="2"/>
      <c r="G25" s="2"/>
      <c r="H25" s="2"/>
    </row>
    <row r="26" customFormat="false" ht="15" hidden="false" customHeight="false" outlineLevel="0" collapsed="false">
      <c r="A26" s="6" t="s">
        <v>284</v>
      </c>
      <c r="B26" s="2"/>
      <c r="C26" s="31" t="n">
        <f aca="false">Assumptions!$C$10</f>
        <v>76.5</v>
      </c>
      <c r="D26" s="2"/>
      <c r="E26" s="2"/>
      <c r="F26" s="2"/>
      <c r="G26" s="2"/>
      <c r="H26" s="2"/>
    </row>
    <row r="27" customFormat="false" ht="15" hidden="false" customHeight="false" outlineLevel="0" collapsed="false">
      <c r="A27" s="4" t="s">
        <v>285</v>
      </c>
      <c r="B27" s="2"/>
      <c r="C27" s="16" t="n">
        <f aca="false">SUM(C24:C26)</f>
        <v>4838.95</v>
      </c>
      <c r="D27" s="2"/>
      <c r="E27" s="2"/>
      <c r="F27" s="2"/>
      <c r="G27" s="2"/>
      <c r="H27" s="2"/>
    </row>
    <row r="28" customFormat="false" ht="15" hidden="false" customHeight="false" outlineLevel="0" collapsed="false">
      <c r="A28" s="6" t="s">
        <v>286</v>
      </c>
      <c r="B28" s="2"/>
      <c r="C28" s="32" t="n">
        <f aca="false">C27/Model!C12</f>
        <v>20.2720988688731</v>
      </c>
      <c r="D28" s="2"/>
      <c r="E28" s="2"/>
      <c r="F28" s="2"/>
      <c r="G28" s="2"/>
      <c r="H28" s="2"/>
    </row>
    <row r="29" customFormat="false" ht="15" hidden="false" customHeight="false" outlineLevel="0" collapsed="false">
      <c r="A29" s="6" t="s">
        <v>287</v>
      </c>
      <c r="B29" s="2"/>
      <c r="C29" s="32" t="n">
        <f aca="false">C27/Model!C8</f>
        <v>23.8842546890424</v>
      </c>
      <c r="D29" s="2"/>
      <c r="E29" s="2"/>
      <c r="F29" s="2"/>
      <c r="G29" s="2"/>
      <c r="H29" s="2"/>
    </row>
    <row r="30" customFormat="false" ht="15" hidden="false" customHeight="false" outlineLevel="0" collapsed="false">
      <c r="A30" s="4" t="s">
        <v>288</v>
      </c>
      <c r="B30" s="2"/>
      <c r="C30" s="35" t="n">
        <f aca="false">C27/Model!D12</f>
        <v>17.5814555909788</v>
      </c>
      <c r="D30" s="2"/>
      <c r="E30" s="2"/>
      <c r="F30" s="2"/>
      <c r="G30" s="2"/>
      <c r="H30" s="2"/>
    </row>
    <row r="31" customFormat="false" ht="15" hidden="false" customHeight="false" outlineLevel="0" collapsed="false">
      <c r="A31" s="6" t="s">
        <v>289</v>
      </c>
      <c r="B31" s="2"/>
      <c r="C31" s="32" t="n">
        <f aca="false">Model!D53/Model!D12</f>
        <v>5.08664851411367</v>
      </c>
      <c r="D31" s="2"/>
      <c r="E31" s="2"/>
      <c r="F31" s="2"/>
      <c r="G31" s="2"/>
      <c r="H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</row>
    <row r="33" customFormat="false" ht="15" hidden="false" customHeight="false" outlineLevel="0" collapsed="false">
      <c r="A33" s="13" t="s">
        <v>290</v>
      </c>
      <c r="B33" s="14"/>
      <c r="C33" s="14"/>
      <c r="D33" s="14"/>
      <c r="E33" s="14"/>
      <c r="F33" s="14"/>
      <c r="G33" s="14"/>
      <c r="H33" s="14"/>
    </row>
    <row r="34" customFormat="false" ht="15" hidden="false" customHeight="false" outlineLevel="0" collapsed="false">
      <c r="A34" s="6" t="s">
        <v>291</v>
      </c>
      <c r="B34" s="2"/>
      <c r="C34" s="31" t="n">
        <f aca="false">Model!I12</f>
        <v>392.6544551622</v>
      </c>
      <c r="D34" s="2"/>
      <c r="E34" s="2"/>
      <c r="F34" s="2"/>
      <c r="G34" s="2"/>
      <c r="H34" s="2"/>
    </row>
    <row r="35" customFormat="false" ht="15" hidden="false" customHeight="false" outlineLevel="0" collapsed="false">
      <c r="A35" s="6" t="s">
        <v>292</v>
      </c>
      <c r="B35" s="2"/>
      <c r="C35" s="36" t="n">
        <f aca="false">Assumptions!$C$51</f>
        <v>17.5814555909788</v>
      </c>
      <c r="D35" s="2"/>
      <c r="E35" s="2"/>
      <c r="F35" s="2"/>
      <c r="G35" s="2"/>
      <c r="H35" s="2"/>
    </row>
    <row r="36" customFormat="false" ht="15" hidden="false" customHeight="false" outlineLevel="0" collapsed="false">
      <c r="A36" s="6" t="s">
        <v>293</v>
      </c>
      <c r="B36" s="2"/>
      <c r="C36" s="17" t="n">
        <f aca="false">C34*C35</f>
        <v>6903.4368660342</v>
      </c>
      <c r="D36" s="2"/>
      <c r="E36" s="2"/>
      <c r="F36" s="2"/>
      <c r="G36" s="2"/>
      <c r="H36" s="2"/>
    </row>
    <row r="37" customFormat="false" ht="15" hidden="false" customHeight="false" outlineLevel="0" collapsed="false">
      <c r="A37" s="6" t="s">
        <v>294</v>
      </c>
      <c r="B37" s="2"/>
      <c r="C37" s="17" t="n">
        <f aca="false">-(Model!I53+Model!I31)</f>
        <v>-909.198860442918</v>
      </c>
      <c r="D37" s="2"/>
      <c r="E37" s="2"/>
      <c r="F37" s="2"/>
      <c r="G37" s="2"/>
      <c r="H37" s="2"/>
    </row>
    <row r="38" customFormat="false" ht="15" hidden="false" customHeight="false" outlineLevel="0" collapsed="false">
      <c r="A38" s="4" t="s">
        <v>295</v>
      </c>
      <c r="B38" s="2"/>
      <c r="C38" s="16" t="n">
        <f aca="false">C36+C37</f>
        <v>5994.23800559129</v>
      </c>
      <c r="D38" s="2"/>
      <c r="E38" s="2"/>
      <c r="F38" s="2"/>
      <c r="G38" s="2"/>
      <c r="H38" s="2"/>
    </row>
    <row r="39" customFormat="false" ht="15" hidden="false" customHeight="false" outlineLevel="0" collapsed="false">
      <c r="A39" s="4" t="s">
        <v>296</v>
      </c>
      <c r="B39" s="2"/>
      <c r="C39" s="37" t="n">
        <f aca="false">C38/C17</f>
        <v>1.72204061570341</v>
      </c>
      <c r="D39" s="2"/>
      <c r="E39" s="2"/>
      <c r="F39" s="2"/>
      <c r="G39" s="2"/>
      <c r="H39" s="2"/>
    </row>
    <row r="40" customFormat="false" ht="15" hidden="false" customHeight="false" outlineLevel="0" collapsed="false">
      <c r="A40" s="4" t="s">
        <v>297</v>
      </c>
      <c r="B40" s="2"/>
      <c r="C40" s="38" t="n">
        <f aca="false">C39^(1/Assumptions!$C$50)-1</f>
        <v>0.11483007970622</v>
      </c>
      <c r="D40" s="2"/>
      <c r="E40" s="2"/>
      <c r="F40" s="2"/>
      <c r="G40" s="2"/>
      <c r="H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</row>
    <row r="42" customFormat="false" ht="15" hidden="false" customHeight="false" outlineLevel="0" collapsed="false">
      <c r="A42" s="13" t="s">
        <v>298</v>
      </c>
      <c r="B42" s="14"/>
      <c r="C42" s="14"/>
      <c r="D42" s="14"/>
      <c r="E42" s="14"/>
      <c r="F42" s="14"/>
      <c r="G42" s="14"/>
      <c r="H42" s="14"/>
    </row>
    <row r="43" customFormat="false" ht="15" hidden="false" customHeight="false" outlineLevel="0" collapsed="false">
      <c r="A43" s="6" t="s">
        <v>299</v>
      </c>
      <c r="B43" s="2"/>
      <c r="C43" s="17" t="n">
        <f aca="false">(Model!I12-Model!D12)*C30</f>
        <v>2064.4868660342</v>
      </c>
      <c r="D43" s="18" t="n">
        <f aca="false">C43/SUM($C$43:$C$45)</f>
        <v>0.784442691298904</v>
      </c>
      <c r="E43" s="3" t="s">
        <v>300</v>
      </c>
      <c r="F43" s="2"/>
      <c r="G43" s="2"/>
      <c r="H43" s="2"/>
    </row>
    <row r="44" customFormat="false" ht="15" hidden="false" customHeight="false" outlineLevel="0" collapsed="false">
      <c r="A44" s="6" t="s">
        <v>301</v>
      </c>
      <c r="B44" s="2"/>
      <c r="C44" s="17" t="n">
        <f aca="false">(C35-C30)*Model!I12</f>
        <v>0</v>
      </c>
      <c r="D44" s="18" t="n">
        <f aca="false">C44/SUM($C$43:$C$45)</f>
        <v>0</v>
      </c>
      <c r="E44" s="2"/>
      <c r="F44" s="2"/>
      <c r="G44" s="2"/>
      <c r="H44" s="2"/>
    </row>
    <row r="45" customFormat="false" ht="15" hidden="false" customHeight="false" outlineLevel="0" collapsed="false">
      <c r="A45" s="6" t="s">
        <v>302</v>
      </c>
      <c r="B45" s="2"/>
      <c r="C45" s="17" t="n">
        <f aca="false">Model!D53-Model!I53</f>
        <v>567.301139557083</v>
      </c>
      <c r="D45" s="18" t="n">
        <f aca="false">C45/SUM($C$43:$C$45)</f>
        <v>0.215557308701096</v>
      </c>
      <c r="E45" s="2"/>
      <c r="F45" s="2"/>
      <c r="G45" s="2"/>
      <c r="H45" s="2"/>
    </row>
    <row r="46" customFormat="false" ht="15" hidden="false" customHeight="false" outlineLevel="0" collapsed="false">
      <c r="A46" s="6" t="s">
        <v>303</v>
      </c>
      <c r="B46" s="2"/>
      <c r="C46" s="17" t="n">
        <f aca="false">-C11</f>
        <v>-118.44235</v>
      </c>
      <c r="D46" s="2"/>
      <c r="E46" s="2"/>
      <c r="F46" s="2"/>
      <c r="G46" s="2"/>
      <c r="H46" s="2"/>
    </row>
    <row r="47" customFormat="false" ht="15" hidden="false" customHeight="false" outlineLevel="0" collapsed="false">
      <c r="A47" s="4" t="s">
        <v>304</v>
      </c>
      <c r="B47" s="2"/>
      <c r="C47" s="33" t="n">
        <f aca="false">SUM(C43:C46)</f>
        <v>2513.34565559129</v>
      </c>
      <c r="D47" s="2"/>
      <c r="E47" s="2"/>
      <c r="F47" s="2"/>
      <c r="G47" s="2"/>
      <c r="H47" s="2"/>
    </row>
    <row r="48" customFormat="false" ht="15" hidden="false" customHeight="false" outlineLevel="0" collapsed="false">
      <c r="A48" s="6" t="s">
        <v>305</v>
      </c>
      <c r="B48" s="2"/>
      <c r="C48" s="19" t="n">
        <f aca="false">ROUND(C38-C17-C47,3)</f>
        <v>0</v>
      </c>
      <c r="D48" s="2"/>
      <c r="E48" s="2"/>
      <c r="F48" s="2"/>
      <c r="G48" s="2"/>
      <c r="H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</row>
    <row r="50" customFormat="false" ht="15" hidden="false" customHeight="false" outlineLevel="0" collapsed="false">
      <c r="A50" s="13" t="s">
        <v>306</v>
      </c>
      <c r="B50" s="14"/>
      <c r="C50" s="14"/>
      <c r="D50" s="14"/>
      <c r="E50" s="14"/>
      <c r="F50" s="14"/>
      <c r="G50" s="14"/>
      <c r="H50" s="14"/>
    </row>
    <row r="51" customFormat="false" ht="15" hidden="false" customHeight="false" outlineLevel="0" collapsed="false">
      <c r="A51" s="3" t="s">
        <v>307</v>
      </c>
      <c r="B51" s="2"/>
      <c r="C51" s="39" t="n">
        <v>15</v>
      </c>
      <c r="D51" s="35" t="n">
        <f aca="false">C30</f>
        <v>17.5814555909788</v>
      </c>
      <c r="E51" s="39" t="n">
        <v>20</v>
      </c>
      <c r="F51" s="39" t="n">
        <v>22</v>
      </c>
      <c r="G51" s="39" t="n">
        <v>24</v>
      </c>
      <c r="H51" s="2"/>
    </row>
    <row r="52" customFormat="false" ht="15" hidden="false" customHeight="false" outlineLevel="0" collapsed="false">
      <c r="A52" s="6" t="s">
        <v>308</v>
      </c>
      <c r="B52" s="40" t="n">
        <f aca="false">Assumptions!$C$12</f>
        <v>37.63</v>
      </c>
      <c r="C52" s="18" t="n">
        <f aca="false">((C$51*Model!$I$12-Model!$I$53-Model!$I$31)/($B52*Assumptions!$C$8+Assumptions!$C$9+Assumptions!$C$26*($B52-Assumptions!$C$7)*Assumptions!$C$8+$C$8+$C$9+Assumptions!$C$22-Assumptions!$C$17))^(1/Assumptions!$C$50)-1</f>
        <v>0.102138030459941</v>
      </c>
      <c r="D52" s="18" t="n">
        <f aca="false">((D$51*Model!$I$12-Model!$I$53-Model!$I$31)/($B52*Assumptions!$C$8+Assumptions!$C$9+Assumptions!$C$26*($B52-Assumptions!$C$7)*Assumptions!$C$8+$C$8+$C$9+Assumptions!$C$22-Assumptions!$C$17))^(1/Assumptions!$C$50)-1</f>
        <v>0.14373691585354</v>
      </c>
      <c r="E52" s="18" t="n">
        <f aca="false">((E$51*Model!$I$12-Model!$I$53-Model!$I$31)/($B52*Assumptions!$C$8+Assumptions!$C$9+Assumptions!$C$26*($B52-Assumptions!$C$7)*Assumptions!$C$8+$C$8+$C$9+Assumptions!$C$22-Assumptions!$C$17))^(1/Assumptions!$C$50)-1</f>
        <v>0.177876919303011</v>
      </c>
      <c r="F52" s="18" t="n">
        <f aca="false">((F$51*Model!$I$12-Model!$I$53-Model!$I$31)/($B52*Assumptions!$C$8+Assumptions!$C$9+Assumptions!$C$26*($B52-Assumptions!$C$7)*Assumptions!$C$8+$C$8+$C$9+Assumptions!$C$22-Assumptions!$C$17))^(1/Assumptions!$C$50)-1</f>
        <v>0.203389566474389</v>
      </c>
      <c r="G52" s="18" t="n">
        <f aca="false">((G$51*Model!$I$12-Model!$I$53-Model!$I$31)/($B52*Assumptions!$C$8+Assumptions!$C$9+Assumptions!$C$26*($B52-Assumptions!$C$7)*Assumptions!$C$8+$C$8+$C$9+Assumptions!$C$22-Assumptions!$C$17))^(1/Assumptions!$C$50)-1</f>
        <v>0.226905898772472</v>
      </c>
      <c r="H52" s="2"/>
    </row>
    <row r="53" customFormat="false" ht="15" hidden="false" customHeight="false" outlineLevel="0" collapsed="false">
      <c r="A53" s="6" t="s">
        <v>309</v>
      </c>
      <c r="B53" s="40" t="n">
        <f aca="false">Assumptions!$C$13</f>
        <v>40</v>
      </c>
      <c r="C53" s="18" t="n">
        <f aca="false">((C$51*Model!$I$12-Model!$I$53-Model!$I$31)/($B53*Assumptions!$C$8+Assumptions!$C$9+Assumptions!$C$26*($B53-Assumptions!$C$7)*Assumptions!$C$8+$C$8+$C$9+Assumptions!$C$22-Assumptions!$C$17))^(1/Assumptions!$C$50)-1</f>
        <v>0.085595742197681</v>
      </c>
      <c r="D53" s="18" t="n">
        <f aca="false">((D$51*Model!$I$12-Model!$I$53-Model!$I$31)/($B53*Assumptions!$C$8+Assumptions!$C$9+Assumptions!$C$26*($B53-Assumptions!$C$7)*Assumptions!$C$8+$C$8+$C$9+Assumptions!$C$22-Assumptions!$C$17))^(1/Assumptions!$C$50)-1</f>
        <v>0.126570258651501</v>
      </c>
      <c r="E53" s="18" t="n">
        <f aca="false">((E$51*Model!$I$12-Model!$I$53-Model!$I$31)/($B53*Assumptions!$C$8+Assumptions!$C$9+Assumptions!$C$26*($B53-Assumptions!$C$7)*Assumptions!$C$8+$C$8+$C$9+Assumptions!$C$22-Assumptions!$C$17))^(1/Assumptions!$C$50)-1</f>
        <v>0.160197845540861</v>
      </c>
      <c r="F53" s="18" t="n">
        <f aca="false">((F$51*Model!$I$12-Model!$I$53-Model!$I$31)/($B53*Assumptions!$C$8+Assumptions!$C$9+Assumptions!$C$26*($B53-Assumptions!$C$7)*Assumptions!$C$8+$C$8+$C$9+Assumptions!$C$22-Assumptions!$C$17))^(1/Assumptions!$C$50)-1</f>
        <v>0.185327566479608</v>
      </c>
      <c r="G53" s="18" t="n">
        <f aca="false">((G$51*Model!$I$12-Model!$I$53-Model!$I$31)/($B53*Assumptions!$C$8+Assumptions!$C$9+Assumptions!$C$26*($B53-Assumptions!$C$7)*Assumptions!$C$8+$C$8+$C$9+Assumptions!$C$22-Assumptions!$C$17))^(1/Assumptions!$C$50)-1</f>
        <v>0.208490935775785</v>
      </c>
      <c r="H53" s="2"/>
    </row>
    <row r="54" customFormat="false" ht="15" hidden="false" customHeight="false" outlineLevel="0" collapsed="false">
      <c r="A54" s="6" t="s">
        <v>310</v>
      </c>
      <c r="B54" s="40" t="n">
        <f aca="false">Assumptions!$C$14</f>
        <v>41</v>
      </c>
      <c r="C54" s="18" t="n">
        <f aca="false">((C$51*Model!$I$12-Model!$I$53-Model!$I$31)/($B54*Assumptions!$C$8+Assumptions!$C$9+Assumptions!$C$26*($B54-Assumptions!$C$7)*Assumptions!$C$8+$C$8+$C$9+Assumptions!$C$22-Assumptions!$C$17))^(1/Assumptions!$C$50)-1</f>
        <v>0.0790442467775339</v>
      </c>
      <c r="D54" s="18" t="n">
        <f aca="false">((D$51*Model!$I$12-Model!$I$53-Model!$I$31)/($B54*Assumptions!$C$8+Assumptions!$C$9+Assumptions!$C$26*($B54-Assumptions!$C$7)*Assumptions!$C$8+$C$8+$C$9+Assumptions!$C$22-Assumptions!$C$17))^(1/Assumptions!$C$50)-1</f>
        <v>0.119771484850962</v>
      </c>
      <c r="E54" s="18" t="n">
        <f aca="false">((E$51*Model!$I$12-Model!$I$53-Model!$I$31)/($B54*Assumptions!$C$8+Assumptions!$C$9+Assumptions!$C$26*($B54-Assumptions!$C$7)*Assumptions!$C$8+$C$8+$C$9+Assumptions!$C$22-Assumptions!$C$17))^(1/Assumptions!$C$50)-1</f>
        <v>0.153196131573064</v>
      </c>
      <c r="F54" s="18" t="n">
        <f aca="false">((F$51*Model!$I$12-Model!$I$53-Model!$I$31)/($B54*Assumptions!$C$8+Assumptions!$C$9+Assumptions!$C$26*($B54-Assumptions!$C$7)*Assumptions!$C$8+$C$8+$C$9+Assumptions!$C$22-Assumptions!$C$17))^(1/Assumptions!$C$50)-1</f>
        <v>0.178174196379386</v>
      </c>
      <c r="G54" s="18" t="n">
        <f aca="false">((G$51*Model!$I$12-Model!$I$53-Model!$I$31)/($B54*Assumptions!$C$8+Assumptions!$C$9+Assumptions!$C$26*($B54-Assumptions!$C$7)*Assumptions!$C$8+$C$8+$C$9+Assumptions!$C$22-Assumptions!$C$17))^(1/Assumptions!$C$50)-1</f>
        <v>0.201197776339662</v>
      </c>
      <c r="H54" s="2"/>
    </row>
    <row r="55" customFormat="false" ht="15" hidden="false" customHeight="false" outlineLevel="0" collapsed="false">
      <c r="A55" s="6" t="s">
        <v>311</v>
      </c>
      <c r="B55" s="40" t="n">
        <f aca="false">Assumptions!$C$6</f>
        <v>41.75</v>
      </c>
      <c r="C55" s="18" t="n">
        <f aca="false">((C$51*Model!$I$12-Model!$I$53-Model!$I$31)/($B55*Assumptions!$C$8+Assumptions!$C$9+Assumptions!$C$26*($B55-Assumptions!$C$7)*Assumptions!$C$8+$C$8+$C$9+Assumptions!$C$22-Assumptions!$C$17))^(1/Assumptions!$C$50)-1</f>
        <v>0.0742825656090405</v>
      </c>
      <c r="D55" s="18" t="n">
        <f aca="false">((D$51*Model!$I$12-Model!$I$53-Model!$I$31)/($B55*Assumptions!$C$8+Assumptions!$C$9+Assumptions!$C$26*($B55-Assumptions!$C$7)*Assumptions!$C$8+$C$8+$C$9+Assumptions!$C$22-Assumptions!$C$17))^(1/Assumptions!$C$50)-1</f>
        <v>0.11483007970622</v>
      </c>
      <c r="E55" s="18" t="n">
        <f aca="false">((E$51*Model!$I$12-Model!$I$53-Model!$I$31)/($B55*Assumptions!$C$8+Assumptions!$C$9+Assumptions!$C$26*($B55-Assumptions!$C$7)*Assumptions!$C$8+$C$8+$C$9+Assumptions!$C$22-Assumptions!$C$17))^(1/Assumptions!$C$50)-1</f>
        <v>0.148107227832843</v>
      </c>
      <c r="F55" s="18" t="n">
        <f aca="false">((F$51*Model!$I$12-Model!$I$53-Model!$I$31)/($B55*Assumptions!$C$8+Assumptions!$C$9+Assumptions!$C$26*($B55-Assumptions!$C$7)*Assumptions!$C$8+$C$8+$C$9+Assumptions!$C$22-Assumptions!$C$17))^(1/Assumptions!$C$50)-1</f>
        <v>0.17297506770523</v>
      </c>
      <c r="G55" s="18" t="n">
        <f aca="false">((G$51*Model!$I$12-Model!$I$53-Model!$I$31)/($B55*Assumptions!$C$8+Assumptions!$C$9+Assumptions!$C$26*($B55-Assumptions!$C$7)*Assumptions!$C$8+$C$8+$C$9+Assumptions!$C$22-Assumptions!$C$17))^(1/Assumptions!$C$50)-1</f>
        <v>0.195897047617634</v>
      </c>
      <c r="H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</row>
    <row r="57" customFormat="false" ht="15" hidden="false" customHeight="false" outlineLevel="0" collapsed="false">
      <c r="A57" s="13" t="s">
        <v>312</v>
      </c>
      <c r="B57" s="14"/>
      <c r="C57" s="14"/>
      <c r="D57" s="14"/>
      <c r="E57" s="14"/>
      <c r="F57" s="14"/>
      <c r="G57" s="14"/>
      <c r="H57" s="14"/>
    </row>
    <row r="58" customFormat="false" ht="15" hidden="false" customHeight="false" outlineLevel="0" collapsed="false">
      <c r="A58" s="6" t="s">
        <v>313</v>
      </c>
      <c r="B58" s="2"/>
      <c r="C58" s="17" t="n">
        <f aca="false">C17*(1+Assumptions!$C$59)^Assumptions!$C$50</f>
        <v>8661.574052352</v>
      </c>
      <c r="D58" s="2"/>
      <c r="E58" s="2"/>
      <c r="F58" s="2"/>
      <c r="G58" s="2"/>
      <c r="H58" s="2"/>
    </row>
    <row r="59" customFormat="false" ht="15" hidden="false" customHeight="false" outlineLevel="0" collapsed="false">
      <c r="A59" s="4" t="s">
        <v>314</v>
      </c>
      <c r="B59" s="2"/>
      <c r="C59" s="35" t="n">
        <f aca="false">(C58+Model!I53+Model!I31)/Model!I12</f>
        <v>24.3745430287843</v>
      </c>
      <c r="D59" s="2"/>
      <c r="E59" s="2"/>
      <c r="F59" s="2"/>
      <c r="G59" s="2"/>
      <c r="H59" s="2"/>
    </row>
    <row r="60" customFormat="false" ht="15" hidden="false" customHeight="false" outlineLevel="0" collapsed="false">
      <c r="A60" s="6" t="s">
        <v>315</v>
      </c>
      <c r="B60" s="2"/>
      <c r="C60" s="17" t="n">
        <f aca="false">(C58+Model!I53+Model!I31)/C30</f>
        <v>544.367493537097</v>
      </c>
      <c r="D60" s="2"/>
      <c r="E60" s="2"/>
      <c r="F60" s="2"/>
      <c r="G60" s="2"/>
      <c r="H60" s="2"/>
    </row>
    <row r="61" customFormat="false" ht="15" hidden="false" customHeight="false" outlineLevel="0" collapsed="false">
      <c r="A61" s="6" t="s">
        <v>316</v>
      </c>
      <c r="B61" s="2"/>
      <c r="C61" s="41" t="n">
        <f aca="false">C60/Model!I12</f>
        <v>1.3863779880257</v>
      </c>
      <c r="D61" s="2"/>
      <c r="E61" s="2"/>
      <c r="F61" s="2"/>
      <c r="G61" s="2"/>
      <c r="H61" s="2"/>
    </row>
    <row r="62" customFormat="false" ht="15" hidden="false" customHeight="false" outlineLevel="0" collapsed="false">
      <c r="A62" s="6" t="s">
        <v>317</v>
      </c>
      <c r="B62" s="2"/>
      <c r="C62" s="17" t="n">
        <f aca="false">(Assumptions!$C$6-Assumptions!$C$12)*Assumptions!$C$8</f>
        <v>416.12</v>
      </c>
      <c r="D62" s="2"/>
      <c r="E62" s="2"/>
      <c r="F62" s="2"/>
      <c r="G62" s="2"/>
      <c r="H62" s="2"/>
    </row>
    <row r="63" customFormat="false" ht="15" hidden="false" customHeight="false" outlineLevel="0" collapsed="false">
      <c r="A63" s="6" t="s">
        <v>318</v>
      </c>
      <c r="B63" s="2"/>
      <c r="C63" s="42" t="n">
        <f aca="false">(D52-D55)*100</f>
        <v>2.89068361473199</v>
      </c>
      <c r="D63" s="2"/>
      <c r="E63" s="2"/>
      <c r="F63" s="2"/>
      <c r="G63" s="2"/>
      <c r="H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</row>
    <row r="65" customFormat="false" ht="15" hidden="false" customHeight="false" outlineLevel="0" collapsed="false">
      <c r="A65" s="13" t="s">
        <v>319</v>
      </c>
      <c r="B65" s="14"/>
      <c r="C65" s="14"/>
      <c r="D65" s="14"/>
      <c r="E65" s="14"/>
      <c r="F65" s="14"/>
      <c r="G65" s="14"/>
      <c r="H65" s="14"/>
    </row>
    <row r="66" customFormat="false" ht="15" hidden="false" customHeight="false" outlineLevel="0" collapsed="false">
      <c r="A66" s="6" t="s">
        <v>320</v>
      </c>
      <c r="B66" s="2"/>
      <c r="C66" s="43" t="n">
        <f aca="false">Assumptions!$C$58</f>
        <v>0.15</v>
      </c>
      <c r="D66" s="43" t="n">
        <f aca="false">Assumptions!$C$59</f>
        <v>0.2</v>
      </c>
      <c r="E66" s="2"/>
      <c r="F66" s="2"/>
      <c r="G66" s="2"/>
      <c r="H66" s="2"/>
    </row>
    <row r="67" customFormat="false" ht="15" hidden="false" customHeight="false" outlineLevel="0" collapsed="false">
      <c r="A67" s="6" t="s">
        <v>321</v>
      </c>
      <c r="B67" s="2"/>
      <c r="C67" s="17" t="n">
        <f aca="false">$C$38/(1+C66)^Assumptions!$C$50</f>
        <v>2980.19568222081</v>
      </c>
      <c r="D67" s="17" t="n">
        <f aca="false">$C$38/(1+D66)^Assumptions!$C$50</f>
        <v>2408.94981577582</v>
      </c>
      <c r="E67" s="2"/>
      <c r="F67" s="2"/>
      <c r="G67" s="2"/>
      <c r="H67" s="2"/>
    </row>
    <row r="68" customFormat="false" ht="15" hidden="false" customHeight="false" outlineLevel="0" collapsed="false">
      <c r="A68" s="4" t="s">
        <v>322</v>
      </c>
      <c r="B68" s="2"/>
      <c r="C68" s="16" t="n">
        <f aca="false">C67+$C$15-$C$12-$C$11+$C$26</f>
        <v>4338.25333222081</v>
      </c>
      <c r="D68" s="16" t="n">
        <f aca="false">D67+$C$15-$C$12-$C$11+$C$26</f>
        <v>3767.00746577582</v>
      </c>
      <c r="E68" s="3" t="s">
        <v>323</v>
      </c>
      <c r="F68" s="2"/>
      <c r="G68" s="2"/>
      <c r="H68" s="2"/>
    </row>
    <row r="69" customFormat="false" ht="15" hidden="false" customHeight="false" outlineLevel="0" collapsed="false">
      <c r="A69" s="6" t="s">
        <v>324</v>
      </c>
      <c r="B69" s="2"/>
      <c r="C69" s="44" t="n">
        <f aca="false">(C68-$C$25-$C$26)/Assumptions!$C$8</f>
        <v>36.792607249711</v>
      </c>
      <c r="D69" s="44" t="n">
        <f aca="false">(D68-$C$25-$C$26)/Assumptions!$C$8</f>
        <v>31.1367075819388</v>
      </c>
      <c r="E69" s="2"/>
      <c r="F69" s="2"/>
      <c r="G69" s="2"/>
      <c r="H6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9"/>
    <col collapsed="false" customWidth="true" hidden="false" outlineLevel="0" max="9" min="3" style="0" width="11"/>
  </cols>
  <sheetData>
    <row r="1" customFormat="false" ht="17.35" hidden="false" customHeight="false" outlineLevel="0" collapsed="false">
      <c r="A1" s="1" t="s">
        <v>325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326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13" t="s">
        <v>327</v>
      </c>
      <c r="B4" s="14"/>
      <c r="C4" s="14"/>
      <c r="D4" s="14"/>
      <c r="E4" s="14"/>
      <c r="F4" s="14"/>
      <c r="G4" s="14"/>
      <c r="H4" s="14"/>
      <c r="I4" s="14"/>
    </row>
    <row r="5" customFormat="false" ht="15" hidden="false" customHeight="false" outlineLevel="0" collapsed="false">
      <c r="A5" s="6" t="s">
        <v>328</v>
      </c>
      <c r="B5" s="2"/>
      <c r="C5" s="18" t="n">
        <f aca="false">Assumptions!$C$52+Assumptions!$C$53*Assumptions!$C$54</f>
        <v>0.0985</v>
      </c>
      <c r="D5" s="2"/>
      <c r="E5" s="2"/>
      <c r="F5" s="2"/>
      <c r="G5" s="2"/>
      <c r="H5" s="2"/>
      <c r="I5" s="2"/>
    </row>
    <row r="6" customFormat="false" ht="15" hidden="false" customHeight="false" outlineLevel="0" collapsed="false">
      <c r="A6" s="6" t="s">
        <v>329</v>
      </c>
      <c r="B6" s="2"/>
      <c r="C6" s="18" t="n">
        <f aca="false">Assumptions!$C$55*(1-Assumptions!$E$46)</f>
        <v>0.0375</v>
      </c>
      <c r="D6" s="2"/>
      <c r="E6" s="2"/>
      <c r="F6" s="2"/>
      <c r="G6" s="2"/>
      <c r="H6" s="2"/>
      <c r="I6" s="2"/>
    </row>
    <row r="7" customFormat="false" ht="15" hidden="false" customHeight="false" outlineLevel="0" collapsed="false">
      <c r="A7" s="4" t="s">
        <v>330</v>
      </c>
      <c r="B7" s="2"/>
      <c r="C7" s="38" t="n">
        <f aca="false">(1-Assumptions!$C$56)*C5+Assumptions!$C$56*C6</f>
        <v>0.08935</v>
      </c>
      <c r="D7" s="2"/>
      <c r="E7" s="2"/>
      <c r="F7" s="2"/>
      <c r="G7" s="2"/>
      <c r="H7" s="2"/>
      <c r="I7" s="2"/>
    </row>
    <row r="8" customFormat="false" ht="15" hidden="false" customHeight="false" outlineLevel="0" collapsed="false">
      <c r="A8" s="6" t="s">
        <v>331</v>
      </c>
      <c r="B8" s="2"/>
      <c r="C8" s="43" t="n">
        <f aca="false">Assumptions!$C$57</f>
        <v>0.025</v>
      </c>
      <c r="D8" s="2"/>
      <c r="E8" s="2"/>
      <c r="F8" s="2"/>
      <c r="G8" s="2"/>
      <c r="H8" s="2"/>
      <c r="I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</row>
    <row r="10" customFormat="false" ht="15" hidden="false" customHeight="false" outlineLevel="0" collapsed="false">
      <c r="A10" s="10" t="s">
        <v>77</v>
      </c>
      <c r="B10" s="11"/>
      <c r="C10" s="11"/>
      <c r="D10" s="11"/>
      <c r="E10" s="12" t="s">
        <v>179</v>
      </c>
      <c r="F10" s="12" t="s">
        <v>180</v>
      </c>
      <c r="G10" s="12" t="s">
        <v>181</v>
      </c>
      <c r="H10" s="12" t="s">
        <v>182</v>
      </c>
      <c r="I10" s="12" t="s">
        <v>183</v>
      </c>
    </row>
    <row r="11" customFormat="false" ht="15" hidden="false" customHeight="false" outlineLevel="0" collapsed="false">
      <c r="A11" s="6" t="s">
        <v>228</v>
      </c>
      <c r="B11" s="2"/>
      <c r="C11" s="2"/>
      <c r="D11" s="2"/>
      <c r="E11" s="17" t="n">
        <f aca="false">Model!E8</f>
        <v>259.58394</v>
      </c>
      <c r="F11" s="17" t="n">
        <f aca="false">Model!F8</f>
        <v>287.7055335</v>
      </c>
      <c r="G11" s="17" t="n">
        <f aca="false">Model!G8</f>
        <v>310.0405683375</v>
      </c>
      <c r="H11" s="17" t="n">
        <f aca="false">Model!H8</f>
        <v>325.542596754375</v>
      </c>
      <c r="I11" s="17" t="n">
        <f aca="false">Model!I8</f>
        <v>341.819726592094</v>
      </c>
    </row>
    <row r="12" customFormat="false" ht="15" hidden="false" customHeight="false" outlineLevel="0" collapsed="false">
      <c r="A12" s="6" t="s">
        <v>332</v>
      </c>
      <c r="B12" s="2"/>
      <c r="C12" s="2"/>
      <c r="D12" s="2"/>
      <c r="E12" s="17" t="n">
        <f aca="false">Model!E16</f>
        <v>-3.06</v>
      </c>
      <c r="F12" s="17" t="n">
        <f aca="false">Model!F16</f>
        <v>-3.06</v>
      </c>
      <c r="G12" s="17" t="n">
        <f aca="false">Model!G16</f>
        <v>-3.06</v>
      </c>
      <c r="H12" s="17" t="n">
        <f aca="false">Model!H16</f>
        <v>-3.06</v>
      </c>
      <c r="I12" s="17" t="n">
        <f aca="false">Model!I16</f>
        <v>-3.06</v>
      </c>
    </row>
    <row r="13" customFormat="false" ht="15" hidden="false" customHeight="false" outlineLevel="0" collapsed="false">
      <c r="A13" s="6" t="s">
        <v>333</v>
      </c>
      <c r="B13" s="2"/>
      <c r="C13" s="2"/>
      <c r="D13" s="2"/>
      <c r="E13" s="17" t="n">
        <f aca="false">Model!E14</f>
        <v>-20</v>
      </c>
      <c r="F13" s="17" t="n">
        <f aca="false">Model!F14</f>
        <v>-10</v>
      </c>
      <c r="G13" s="17" t="n">
        <f aca="false">Model!G14</f>
        <v>-0</v>
      </c>
      <c r="H13" s="17" t="n">
        <f aca="false">Model!H14</f>
        <v>-0</v>
      </c>
      <c r="I13" s="17" t="n">
        <f aca="false">Model!I14</f>
        <v>-0</v>
      </c>
    </row>
    <row r="14" customFormat="false" ht="15" hidden="false" customHeight="false" outlineLevel="0" collapsed="false">
      <c r="A14" s="6" t="s">
        <v>334</v>
      </c>
      <c r="B14" s="2"/>
      <c r="C14" s="2"/>
      <c r="D14" s="2"/>
      <c r="E14" s="17" t="n">
        <f aca="false">-(E11+E12+E13)*Assumptions!E$46</f>
        <v>-59.130985</v>
      </c>
      <c r="F14" s="17" t="n">
        <f aca="false">-(F11+F12+F13)*Assumptions!F$46</f>
        <v>-68.661383375</v>
      </c>
      <c r="G14" s="17" t="n">
        <f aca="false">-(G11+G12+G13)*Assumptions!G$46</f>
        <v>-76.745142084375</v>
      </c>
      <c r="H14" s="17" t="n">
        <f aca="false">-(H11+H12+H13)*Assumptions!H$46</f>
        <v>-80.6206491885938</v>
      </c>
      <c r="I14" s="17" t="n">
        <f aca="false">-(I11+I12+I13)*Assumptions!I$46</f>
        <v>-84.6899316480235</v>
      </c>
    </row>
    <row r="15" customFormat="false" ht="15" hidden="false" customHeight="false" outlineLevel="0" collapsed="false">
      <c r="A15" s="4" t="s">
        <v>335</v>
      </c>
      <c r="B15" s="2"/>
      <c r="C15" s="2"/>
      <c r="D15" s="2"/>
      <c r="E15" s="16" t="n">
        <f aca="false">SUM(E11:E14)</f>
        <v>177.392955</v>
      </c>
      <c r="F15" s="16" t="n">
        <f aca="false">SUM(F11:F14)</f>
        <v>205.984150125</v>
      </c>
      <c r="G15" s="16" t="n">
        <f aca="false">SUM(G11:G14)</f>
        <v>230.235426253125</v>
      </c>
      <c r="H15" s="16" t="n">
        <f aca="false">SUM(H11:H14)</f>
        <v>241.861947565781</v>
      </c>
      <c r="I15" s="16" t="n">
        <f aca="false">SUM(I11:I14)</f>
        <v>254.06979494407</v>
      </c>
    </row>
    <row r="16" customFormat="false" ht="15" hidden="false" customHeight="false" outlineLevel="0" collapsed="false">
      <c r="A16" s="6" t="s">
        <v>336</v>
      </c>
      <c r="B16" s="2"/>
      <c r="C16" s="2"/>
      <c r="D16" s="2"/>
      <c r="E16" s="17" t="n">
        <f aca="false">Model!E10-Model!E11</f>
        <v>24.516261</v>
      </c>
      <c r="F16" s="17" t="n">
        <f aca="false">Model!F10-Model!F11</f>
        <v>25.74207405</v>
      </c>
      <c r="G16" s="17" t="n">
        <f aca="false">Model!G10-Model!G11</f>
        <v>27.0291777525</v>
      </c>
      <c r="H16" s="17" t="n">
        <f aca="false">Model!H10-Model!H11</f>
        <v>28.380636640125</v>
      </c>
      <c r="I16" s="17" t="n">
        <f aca="false">Model!I10-Model!I11</f>
        <v>29.7996684721313</v>
      </c>
    </row>
    <row r="17" customFormat="false" ht="15" hidden="false" customHeight="false" outlineLevel="0" collapsed="false">
      <c r="A17" s="6" t="s">
        <v>337</v>
      </c>
      <c r="B17" s="2"/>
      <c r="C17" s="2"/>
      <c r="D17" s="2"/>
      <c r="E17" s="17" t="n">
        <f aca="false">Model!E44</f>
        <v>-50.474655</v>
      </c>
      <c r="F17" s="17" t="n">
        <f aca="false">Model!F44</f>
        <v>-52.99838775</v>
      </c>
      <c r="G17" s="17" t="n">
        <f aca="false">Model!G44</f>
        <v>-55.6483071375</v>
      </c>
      <c r="H17" s="17" t="n">
        <f aca="false">Model!H44</f>
        <v>-58.430722494375</v>
      </c>
      <c r="I17" s="17" t="n">
        <f aca="false">Model!I44</f>
        <v>-61.3522586190938</v>
      </c>
    </row>
    <row r="18" customFormat="false" ht="15" hidden="false" customHeight="false" outlineLevel="0" collapsed="false">
      <c r="A18" s="6" t="s">
        <v>248</v>
      </c>
      <c r="B18" s="2"/>
      <c r="C18" s="2"/>
      <c r="D18" s="2"/>
      <c r="E18" s="17" t="n">
        <f aca="false">Model!E40</f>
        <v>-14.0867692307693</v>
      </c>
      <c r="F18" s="17" t="n">
        <f aca="false">Model!F40</f>
        <v>-14.7911076923077</v>
      </c>
      <c r="G18" s="17" t="n">
        <f aca="false">Model!G40</f>
        <v>-15.5306630769231</v>
      </c>
      <c r="H18" s="17" t="n">
        <f aca="false">Model!H40</f>
        <v>-16.3071962307693</v>
      </c>
      <c r="I18" s="17" t="n">
        <f aca="false">Model!I40</f>
        <v>-17.1225560423078</v>
      </c>
    </row>
    <row r="19" customFormat="false" ht="15" hidden="false" customHeight="false" outlineLevel="0" collapsed="false">
      <c r="A19" s="4" t="s">
        <v>338</v>
      </c>
      <c r="B19" s="2"/>
      <c r="C19" s="2"/>
      <c r="D19" s="2"/>
      <c r="E19" s="16" t="n">
        <f aca="false">SUM(E15:E18)</f>
        <v>137.347791769231</v>
      </c>
      <c r="F19" s="16" t="n">
        <f aca="false">SUM(F15:F18)</f>
        <v>163.936728732692</v>
      </c>
      <c r="G19" s="16" t="n">
        <f aca="false">SUM(G15:G18)</f>
        <v>186.085633791202</v>
      </c>
      <c r="H19" s="16" t="n">
        <f aca="false">SUM(H15:H18)</f>
        <v>195.504665480762</v>
      </c>
      <c r="I19" s="16" t="n">
        <f aca="false">SUM(I15:I18)</f>
        <v>205.3946487548</v>
      </c>
    </row>
    <row r="20" customFormat="false" ht="15" hidden="false" customHeight="false" outlineLevel="0" collapsed="false">
      <c r="A20" s="6" t="s">
        <v>339</v>
      </c>
      <c r="B20" s="2"/>
      <c r="C20" s="2"/>
      <c r="D20" s="2"/>
      <c r="E20" s="27" t="n">
        <v>1</v>
      </c>
      <c r="F20" s="27" t="n">
        <v>2</v>
      </c>
      <c r="G20" s="27" t="n">
        <v>3</v>
      </c>
      <c r="H20" s="27" t="n">
        <v>4</v>
      </c>
      <c r="I20" s="27" t="n">
        <v>5</v>
      </c>
    </row>
    <row r="21" customFormat="false" ht="15" hidden="false" customHeight="false" outlineLevel="0" collapsed="false">
      <c r="A21" s="6" t="s">
        <v>340</v>
      </c>
      <c r="B21" s="2"/>
      <c r="C21" s="2"/>
      <c r="D21" s="2"/>
      <c r="E21" s="45" t="n">
        <f aca="false">1/(1+$C$7)^E20</f>
        <v>0.917978611098361</v>
      </c>
      <c r="F21" s="45" t="n">
        <f aca="false">1/(1+$C$7)^F20</f>
        <v>0.842684730434077</v>
      </c>
      <c r="G21" s="45" t="n">
        <f aca="false">1/(1+$C$7)^G20</f>
        <v>0.773566558437671</v>
      </c>
      <c r="H21" s="45" t="n">
        <f aca="false">1/(1+$C$7)^H20</f>
        <v>0.710117554906752</v>
      </c>
      <c r="I21" s="45" t="n">
        <f aca="false">1/(1+$C$7)^I20</f>
        <v>0.651872726769865</v>
      </c>
    </row>
    <row r="22" customFormat="false" ht="15" hidden="false" customHeight="false" outlineLevel="0" collapsed="false">
      <c r="A22" s="6" t="s">
        <v>341</v>
      </c>
      <c r="B22" s="2"/>
      <c r="C22" s="2"/>
      <c r="D22" s="2"/>
      <c r="E22" s="17" t="n">
        <f aca="false">E19*E21</f>
        <v>126.082335125745</v>
      </c>
      <c r="F22" s="17" t="n">
        <f aca="false">F19*F21</f>
        <v>138.146978060353</v>
      </c>
      <c r="G22" s="17" t="n">
        <f aca="false">G19*G21</f>
        <v>143.949623306553</v>
      </c>
      <c r="H22" s="17" t="n">
        <f aca="false">H19*H21</f>
        <v>138.831295024061</v>
      </c>
      <c r="I22" s="17" t="n">
        <f aca="false">I19*I21</f>
        <v>133.89116974773</v>
      </c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</row>
    <row r="24" customFormat="false" ht="15" hidden="false" customHeight="false" outlineLevel="0" collapsed="false">
      <c r="A24" s="6" t="s">
        <v>342</v>
      </c>
      <c r="B24" s="2"/>
      <c r="C24" s="17" t="n">
        <f aca="false">SUM(E22:I22)</f>
        <v>680.901401264443</v>
      </c>
      <c r="D24" s="2"/>
      <c r="E24" s="2"/>
      <c r="F24" s="2"/>
      <c r="G24" s="2"/>
      <c r="H24" s="2"/>
      <c r="I24" s="2"/>
    </row>
    <row r="25" customFormat="false" ht="15" hidden="false" customHeight="false" outlineLevel="0" collapsed="false">
      <c r="A25" s="6" t="s">
        <v>343</v>
      </c>
      <c r="B25" s="2"/>
      <c r="C25" s="17" t="n">
        <f aca="false">I19*(1+C8)/(C7-C8)</f>
        <v>3271.63193432277</v>
      </c>
      <c r="D25" s="2"/>
      <c r="E25" s="2"/>
      <c r="F25" s="2"/>
      <c r="G25" s="2"/>
      <c r="H25" s="2"/>
      <c r="I25" s="2"/>
    </row>
    <row r="26" customFormat="false" ht="15" hidden="false" customHeight="false" outlineLevel="0" collapsed="false">
      <c r="A26" s="6" t="s">
        <v>344</v>
      </c>
      <c r="B26" s="2"/>
      <c r="C26" s="17" t="n">
        <f aca="false">C25*I21</f>
        <v>2132.68763001435</v>
      </c>
      <c r="D26" s="2"/>
      <c r="E26" s="2"/>
      <c r="F26" s="2"/>
      <c r="G26" s="2"/>
      <c r="H26" s="2"/>
      <c r="I26" s="2"/>
    </row>
    <row r="27" customFormat="false" ht="15" hidden="false" customHeight="false" outlineLevel="0" collapsed="false">
      <c r="A27" s="6" t="s">
        <v>345</v>
      </c>
      <c r="B27" s="2"/>
      <c r="C27" s="17" t="n">
        <f aca="false">C24+C26</f>
        <v>2813.58903127879</v>
      </c>
      <c r="D27" s="2"/>
      <c r="E27" s="2"/>
      <c r="F27" s="2"/>
      <c r="G27" s="2"/>
      <c r="H27" s="2"/>
      <c r="I27" s="2"/>
    </row>
    <row r="28" customFormat="false" ht="15" hidden="false" customHeight="false" outlineLevel="0" collapsed="false">
      <c r="A28" s="6" t="s">
        <v>346</v>
      </c>
      <c r="B28" s="2"/>
      <c r="C28" s="31" t="n">
        <f aca="false">Assumptions!$C$10</f>
        <v>76.5</v>
      </c>
      <c r="D28" s="2"/>
      <c r="E28" s="2"/>
      <c r="F28" s="2"/>
      <c r="G28" s="2"/>
      <c r="H28" s="2"/>
      <c r="I28" s="2"/>
    </row>
    <row r="29" customFormat="false" ht="15" hidden="false" customHeight="false" outlineLevel="0" collapsed="false">
      <c r="A29" s="4" t="s">
        <v>347</v>
      </c>
      <c r="B29" s="2"/>
      <c r="C29" s="34" t="n">
        <f aca="false">C27+C28</f>
        <v>2890.08903127879</v>
      </c>
      <c r="D29" s="2"/>
      <c r="E29" s="2"/>
      <c r="F29" s="2"/>
      <c r="G29" s="2"/>
      <c r="H29" s="2"/>
      <c r="I29" s="2"/>
    </row>
    <row r="30" customFormat="false" ht="15" hidden="false" customHeight="false" outlineLevel="0" collapsed="false">
      <c r="A30" s="6" t="s">
        <v>348</v>
      </c>
      <c r="B30" s="2"/>
      <c r="C30" s="18" t="n">
        <f aca="false">C26/C27</f>
        <v>0.757995430855455</v>
      </c>
      <c r="D30" s="2"/>
      <c r="E30" s="2"/>
      <c r="F30" s="2"/>
      <c r="G30" s="2"/>
      <c r="H30" s="2"/>
      <c r="I30" s="2"/>
    </row>
    <row r="31" customFormat="false" ht="15" hidden="false" customHeight="false" outlineLevel="0" collapsed="false">
      <c r="A31" s="6" t="s">
        <v>349</v>
      </c>
      <c r="B31" s="2"/>
      <c r="C31" s="32" t="n">
        <f aca="false">C29/Model!D12</f>
        <v>10.5006193404361</v>
      </c>
      <c r="D31" s="2"/>
      <c r="E31" s="2"/>
      <c r="F31" s="2"/>
      <c r="G31" s="2"/>
      <c r="H31" s="2"/>
      <c r="I31" s="2"/>
    </row>
    <row r="32" customFormat="false" ht="15" hidden="false" customHeight="false" outlineLevel="0" collapsed="false">
      <c r="A32" s="6" t="s">
        <v>350</v>
      </c>
      <c r="B32" s="2"/>
      <c r="C32" s="44" t="n">
        <f aca="false">(C29-Assumptions!$C$9-Assumptions!$C$10)/Assumptions!$C$8</f>
        <v>22.4543468443445</v>
      </c>
      <c r="D32" s="2"/>
      <c r="E32" s="2"/>
      <c r="F32" s="2"/>
      <c r="G32" s="2"/>
      <c r="H32" s="2"/>
      <c r="I32" s="2"/>
    </row>
    <row r="33" customFormat="false" ht="15" hidden="false" customHeight="false" outlineLevel="0" collapsed="false">
      <c r="A33" s="6" t="s">
        <v>351</v>
      </c>
      <c r="B33" s="2"/>
      <c r="C33" s="41" t="n">
        <f aca="false">LBO!C27/C29</f>
        <v>1.67432558223263</v>
      </c>
      <c r="D33" s="2"/>
      <c r="E33" s="2"/>
      <c r="F33" s="2"/>
      <c r="G33" s="2"/>
      <c r="H33" s="2"/>
      <c r="I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</row>
    <row r="35" customFormat="false" ht="15" hidden="false" customHeight="false" outlineLevel="0" collapsed="false">
      <c r="A35" s="13" t="s">
        <v>352</v>
      </c>
      <c r="B35" s="14"/>
      <c r="C35" s="14"/>
      <c r="D35" s="14"/>
      <c r="E35" s="14"/>
      <c r="F35" s="14"/>
      <c r="G35" s="14"/>
      <c r="H35" s="14"/>
      <c r="I35" s="14"/>
    </row>
    <row r="36" customFormat="false" ht="15" hidden="false" customHeight="false" outlineLevel="0" collapsed="false">
      <c r="A36" s="3" t="s">
        <v>353</v>
      </c>
      <c r="B36" s="2"/>
      <c r="C36" s="46" t="n">
        <v>0.02</v>
      </c>
      <c r="D36" s="47" t="n">
        <f aca="false">Assumptions!$C$57</f>
        <v>0.025</v>
      </c>
      <c r="E36" s="46" t="n">
        <v>0.03</v>
      </c>
      <c r="F36" s="2"/>
      <c r="G36" s="2"/>
      <c r="H36" s="2"/>
      <c r="I36" s="2"/>
    </row>
    <row r="37" customFormat="false" ht="15" hidden="false" customHeight="false" outlineLevel="0" collapsed="false">
      <c r="A37" s="2"/>
      <c r="B37" s="48" t="n">
        <f aca="false">$C$7-0.01</f>
        <v>0.07935</v>
      </c>
      <c r="C37" s="49" t="n">
        <f aca="false">SUMPRODUCT($E$19:$I$19/(1+$B37)^$E$20:$I$20)+$I$19*(1+C$36)/($B37-C$36)/(1+$B37)^$I$20+$C$28</f>
        <v>3186.38209076679</v>
      </c>
      <c r="D37" s="49" t="n">
        <f aca="false">SUMPRODUCT($E$19:$I$19/(1+$B37)^$E$20:$I$20)+$I$19*(1+D$36)/($B37-D$36)/(1+$B37)^$I$20+$C$28</f>
        <v>3420.96138413306</v>
      </c>
      <c r="E37" s="49" t="n">
        <f aca="false">SUMPRODUCT($E$19:$I$19/(1+$B37)^$E$20:$I$20)+$I$19*(1+E$36)/($B37-E$36)/(1+$B37)^$I$20+$C$28</f>
        <v>3703.07447554721</v>
      </c>
      <c r="F37" s="2"/>
      <c r="G37" s="2"/>
      <c r="H37" s="2"/>
      <c r="I37" s="2"/>
    </row>
    <row r="38" customFormat="false" ht="15" hidden="false" customHeight="false" outlineLevel="0" collapsed="false">
      <c r="A38" s="2"/>
      <c r="B38" s="48" t="n">
        <f aca="false">$C$7-0.005</f>
        <v>0.08435</v>
      </c>
      <c r="C38" s="49" t="n">
        <f aca="false">SUMPRODUCT($E$19:$I$19/(1+$B38)^$E$20:$I$20)+$I$19*(1+C$36)/($B38-C$36)/(1+$B38)^$I$20+$C$28</f>
        <v>2938.62156504119</v>
      </c>
      <c r="D38" s="49" t="n">
        <f aca="false">SUMPRODUCT($E$19:$I$19/(1+$B38)^$E$20:$I$20)+$I$19*(1+D$36)/($B38-D$36)/(1+$B38)^$I$20+$C$28</f>
        <v>3133.11812263279</v>
      </c>
      <c r="E38" s="49" t="n">
        <f aca="false">SUMPRODUCT($E$19:$I$19/(1+$B38)^$E$20:$I$20)+$I$19*(1+E$36)/($B38-E$36)/(1+$B38)^$I$20+$C$28</f>
        <v>3363.40061538383</v>
      </c>
      <c r="F38" s="2"/>
      <c r="G38" s="2"/>
      <c r="H38" s="2"/>
      <c r="I38" s="2"/>
    </row>
    <row r="39" customFormat="false" ht="15" hidden="false" customHeight="false" outlineLevel="0" collapsed="false">
      <c r="A39" s="2"/>
      <c r="B39" s="48" t="n">
        <f aca="false">$C$7</f>
        <v>0.08935</v>
      </c>
      <c r="C39" s="49" t="n">
        <f aca="false">SUMPRODUCT($E$19:$I$19/(1+$B39)^$E$20:$I$20)+$I$19*(1+C$36)/($B39-C$36)/(1+$B39)^$I$20+$C$28</f>
        <v>2726.67311204577</v>
      </c>
      <c r="D39" s="49" t="n">
        <f aca="false">SUMPRODUCT($E$19:$I$19/(1+$B39)^$E$20:$I$20)+$I$19*(1+D$36)/($B39-D$36)/(1+$B39)^$I$20+$C$28</f>
        <v>2890.08903127879</v>
      </c>
      <c r="E39" s="49" t="n">
        <f aca="false">SUMPRODUCT($E$19:$I$19/(1+$B39)^$E$20:$I$20)+$I$19*(1+E$36)/($B39-E$36)/(1+$B39)^$I$20+$C$28</f>
        <v>3081.03922502454</v>
      </c>
      <c r="F39" s="2"/>
      <c r="G39" s="2"/>
      <c r="H39" s="2"/>
      <c r="I39" s="2"/>
    </row>
    <row r="40" customFormat="false" ht="15" hidden="false" customHeight="false" outlineLevel="0" collapsed="false">
      <c r="A40" s="2"/>
      <c r="B40" s="48" t="n">
        <f aca="false">$C$7+0.005</f>
        <v>0.09435</v>
      </c>
      <c r="C40" s="49" t="n">
        <f aca="false">SUMPRODUCT($E$19:$I$19/(1+$B40)^$E$20:$I$20)+$I$19*(1+C$36)/($B40-C$36)/(1+$B40)^$I$20+$C$28</f>
        <v>2543.31000351825</v>
      </c>
      <c r="D40" s="49" t="n">
        <f aca="false">SUMPRODUCT($E$19:$I$19/(1+$B40)^$E$20:$I$20)+$I$19*(1+D$36)/($B40-D$36)/(1+$B40)^$I$20+$C$28</f>
        <v>2682.17945547732</v>
      </c>
      <c r="E40" s="49" t="n">
        <f aca="false">SUMPRODUCT($E$19:$I$19/(1+$B40)^$E$20:$I$20)+$I$19*(1+E$36)/($B40-E$36)/(1+$B40)^$I$20+$C$28</f>
        <v>2842.62924185117</v>
      </c>
      <c r="F40" s="2"/>
      <c r="G40" s="2"/>
      <c r="H40" s="2"/>
      <c r="I40" s="2"/>
    </row>
    <row r="41" customFormat="false" ht="15" hidden="false" customHeight="false" outlineLevel="0" collapsed="false">
      <c r="A41" s="2"/>
      <c r="B41" s="48" t="n">
        <f aca="false">$C$7+0.01</f>
        <v>0.09935</v>
      </c>
      <c r="C41" s="49" t="n">
        <f aca="false">SUMPRODUCT($E$19:$I$19/(1+$B41)^$E$20:$I$20)+$I$19*(1+C$36)/($B41-C$36)/(1+$B41)^$I$20+$C$28</f>
        <v>2383.12703524497</v>
      </c>
      <c r="D41" s="49" t="n">
        <f aca="false">SUMPRODUCT($E$19:$I$19/(1+$B41)^$E$20:$I$20)+$I$19*(1+D$36)/($B41-D$36)/(1+$B41)^$I$20+$C$28</f>
        <v>2502.30262284711</v>
      </c>
      <c r="E41" s="49" t="n">
        <f aca="false">SUMPRODUCT($E$19:$I$19/(1+$B41)^$E$20:$I$20)+$I$19*(1+E$36)/($B41-E$36)/(1+$B41)^$I$20+$C$28</f>
        <v>2638.66286619578</v>
      </c>
      <c r="F41" s="2"/>
      <c r="G41" s="2"/>
      <c r="H41" s="2"/>
      <c r="I4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354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355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0" t="s">
        <v>356</v>
      </c>
      <c r="B4" s="10" t="s">
        <v>357</v>
      </c>
      <c r="C4" s="10" t="s">
        <v>358</v>
      </c>
      <c r="D4" s="10" t="s">
        <v>359</v>
      </c>
      <c r="E4" s="10" t="s">
        <v>360</v>
      </c>
      <c r="F4" s="10" t="s">
        <v>361</v>
      </c>
    </row>
    <row r="5" customFormat="false" ht="15" hidden="false" customHeight="false" outlineLevel="0" collapsed="false">
      <c r="A5" s="6" t="s">
        <v>362</v>
      </c>
      <c r="B5" s="6" t="s">
        <v>363</v>
      </c>
      <c r="C5" s="6" t="s">
        <v>364</v>
      </c>
      <c r="D5" s="6" t="s">
        <v>365</v>
      </c>
      <c r="E5" s="50" t="n">
        <v>20.19</v>
      </c>
      <c r="F5" s="3" t="s">
        <v>366</v>
      </c>
    </row>
    <row r="6" customFormat="false" ht="15" hidden="false" customHeight="false" outlineLevel="0" collapsed="false">
      <c r="A6" s="6" t="s">
        <v>367</v>
      </c>
      <c r="B6" s="6" t="s">
        <v>368</v>
      </c>
      <c r="C6" s="6" t="s">
        <v>364</v>
      </c>
      <c r="D6" s="6" t="s">
        <v>369</v>
      </c>
      <c r="E6" s="50" t="n">
        <v>13.92</v>
      </c>
      <c r="F6" s="3" t="s">
        <v>370</v>
      </c>
    </row>
    <row r="7" customFormat="false" ht="15" hidden="false" customHeight="false" outlineLevel="0" collapsed="false">
      <c r="A7" s="6" t="s">
        <v>371</v>
      </c>
      <c r="B7" s="6" t="s">
        <v>372</v>
      </c>
      <c r="C7" s="6" t="s">
        <v>364</v>
      </c>
      <c r="D7" s="6" t="s">
        <v>365</v>
      </c>
      <c r="E7" s="50" t="n">
        <v>11.62</v>
      </c>
      <c r="F7" s="3" t="s">
        <v>373</v>
      </c>
    </row>
    <row r="8" customFormat="false" ht="15" hidden="false" customHeight="false" outlineLevel="0" collapsed="false">
      <c r="A8" s="6" t="s">
        <v>374</v>
      </c>
      <c r="B8" s="6" t="s">
        <v>375</v>
      </c>
      <c r="C8" s="6" t="s">
        <v>364</v>
      </c>
      <c r="D8" s="6" t="s">
        <v>376</v>
      </c>
      <c r="E8" s="50" t="n">
        <v>15.81</v>
      </c>
      <c r="F8" s="3" t="s">
        <v>377</v>
      </c>
    </row>
    <row r="9" customFormat="false" ht="15" hidden="false" customHeight="false" outlineLevel="0" collapsed="false">
      <c r="A9" s="6" t="s">
        <v>378</v>
      </c>
      <c r="B9" s="6" t="s">
        <v>379</v>
      </c>
      <c r="C9" s="6" t="s">
        <v>364</v>
      </c>
      <c r="D9" s="6" t="s">
        <v>376</v>
      </c>
      <c r="E9" s="50" t="n">
        <v>16.13</v>
      </c>
      <c r="F9" s="3" t="s">
        <v>380</v>
      </c>
    </row>
    <row r="10" customFormat="false" ht="15" hidden="false" customHeight="false" outlineLevel="0" collapsed="false">
      <c r="A10" s="6" t="s">
        <v>381</v>
      </c>
      <c r="B10" s="6" t="s">
        <v>382</v>
      </c>
      <c r="C10" s="6" t="s">
        <v>383</v>
      </c>
      <c r="D10" s="6" t="s">
        <v>376</v>
      </c>
      <c r="E10" s="50" t="n">
        <v>22.95</v>
      </c>
      <c r="F10" s="3" t="s">
        <v>384</v>
      </c>
    </row>
    <row r="11" customFormat="false" ht="15" hidden="false" customHeight="false" outlineLevel="0" collapsed="false">
      <c r="A11" s="6" t="s">
        <v>385</v>
      </c>
      <c r="B11" s="6" t="s">
        <v>386</v>
      </c>
      <c r="C11" s="6" t="s">
        <v>383</v>
      </c>
      <c r="D11" s="6" t="s">
        <v>376</v>
      </c>
      <c r="E11" s="50" t="n">
        <v>22.56</v>
      </c>
      <c r="F11" s="3" t="s">
        <v>387</v>
      </c>
    </row>
    <row r="12" customFormat="false" ht="15" hidden="false" customHeight="false" outlineLevel="0" collapsed="false">
      <c r="A12" s="6" t="s">
        <v>388</v>
      </c>
      <c r="B12" s="6" t="s">
        <v>389</v>
      </c>
      <c r="C12" s="6" t="s">
        <v>383</v>
      </c>
      <c r="D12" s="6" t="s">
        <v>376</v>
      </c>
      <c r="E12" s="50" t="n">
        <v>19.09</v>
      </c>
      <c r="F12" s="3" t="s">
        <v>390</v>
      </c>
    </row>
    <row r="13" customFormat="false" ht="15" hidden="false" customHeight="false" outlineLevel="0" collapsed="false">
      <c r="A13" s="6" t="s">
        <v>391</v>
      </c>
      <c r="B13" s="6" t="s">
        <v>392</v>
      </c>
      <c r="C13" s="6" t="s">
        <v>383</v>
      </c>
      <c r="D13" s="6" t="s">
        <v>376</v>
      </c>
      <c r="E13" s="50" t="n">
        <v>20.01</v>
      </c>
      <c r="F13" s="3" t="s">
        <v>393</v>
      </c>
    </row>
    <row r="14" customFormat="false" ht="15" hidden="false" customHeight="false" outlineLevel="0" collapsed="false">
      <c r="A14" s="6" t="s">
        <v>394</v>
      </c>
      <c r="B14" s="6" t="s">
        <v>395</v>
      </c>
      <c r="C14" s="6" t="s">
        <v>383</v>
      </c>
      <c r="D14" s="6" t="s">
        <v>396</v>
      </c>
      <c r="E14" s="50" t="n">
        <v>23.58</v>
      </c>
      <c r="F14" s="3" t="s">
        <v>397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</row>
    <row r="16" customFormat="false" ht="15" hidden="false" customHeight="false" outlineLevel="0" collapsed="false">
      <c r="A16" s="10" t="s">
        <v>398</v>
      </c>
      <c r="B16" s="10" t="s">
        <v>399</v>
      </c>
      <c r="C16" s="10" t="s">
        <v>400</v>
      </c>
      <c r="D16" s="10" t="s">
        <v>401</v>
      </c>
      <c r="E16" s="10" t="s">
        <v>402</v>
      </c>
      <c r="F16" s="11"/>
    </row>
    <row r="17" customFormat="false" ht="15" hidden="false" customHeight="false" outlineLevel="0" collapsed="false">
      <c r="A17" s="4" t="s">
        <v>403</v>
      </c>
      <c r="B17" s="32" t="n">
        <f aca="false">QUARTILE(E5:E9,1)</f>
        <v>13.92</v>
      </c>
      <c r="C17" s="32" t="n">
        <f aca="false">MEDIAN(E5:E9)</f>
        <v>15.81</v>
      </c>
      <c r="D17" s="32" t="n">
        <f aca="false">QUARTILE(E5:E9,3)</f>
        <v>16.13</v>
      </c>
      <c r="E17" s="49" t="n">
        <f aca="false">C17*Model!$C$12</f>
        <v>3773.847</v>
      </c>
      <c r="F17" s="2"/>
    </row>
    <row r="18" customFormat="false" ht="15" hidden="false" customHeight="false" outlineLevel="0" collapsed="false">
      <c r="A18" s="4" t="s">
        <v>404</v>
      </c>
      <c r="B18" s="32" t="n">
        <f aca="false">QUARTILE(E10:E14,1)</f>
        <v>20.01</v>
      </c>
      <c r="C18" s="32" t="n">
        <f aca="false">MEDIAN(E10:E14)</f>
        <v>22.56</v>
      </c>
      <c r="D18" s="32" t="n">
        <f aca="false">QUARTILE(E10:E14,3)</f>
        <v>22.95</v>
      </c>
      <c r="E18" s="49" t="n">
        <f aca="false">C18*Model!$C$12</f>
        <v>5385.072</v>
      </c>
      <c r="F18" s="2"/>
    </row>
    <row r="19" customFormat="false" ht="15" hidden="false" customHeight="false" outlineLevel="0" collapsed="false">
      <c r="A19" s="4" t="s">
        <v>405</v>
      </c>
      <c r="B19" s="32" t="n">
        <f aca="false">QUARTILE(E5:E14,1)</f>
        <v>15.89</v>
      </c>
      <c r="C19" s="32" t="n">
        <f aca="false">MEDIAN(E5:E14)</f>
        <v>19.55</v>
      </c>
      <c r="D19" s="32" t="n">
        <f aca="false">QUARTILE(E5:E14,3)</f>
        <v>21.9675</v>
      </c>
      <c r="E19" s="49" t="n">
        <f aca="false">C19*Model!$C$12</f>
        <v>4666.585</v>
      </c>
      <c r="F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</row>
    <row r="21" customFormat="false" ht="15" hidden="false" customHeight="false" outlineLevel="0" collapsed="false">
      <c r="A21" s="4" t="s">
        <v>406</v>
      </c>
      <c r="B21" s="2"/>
      <c r="C21" s="32" t="n">
        <f aca="false">FootballField!C5/Model!C12</f>
        <v>11.2299120234604</v>
      </c>
      <c r="D21" s="2"/>
      <c r="E21" s="2"/>
      <c r="F21" s="3" t="s">
        <v>407</v>
      </c>
    </row>
    <row r="22" customFormat="false" ht="15" hidden="false" customHeight="false" outlineLevel="0" collapsed="false">
      <c r="A22" s="4" t="s">
        <v>408</v>
      </c>
      <c r="B22" s="2"/>
      <c r="C22" s="32" t="n">
        <f aca="false">LBO!C28</f>
        <v>20.2720988688731</v>
      </c>
      <c r="D22" s="2"/>
      <c r="E22" s="2"/>
      <c r="F22" s="3" t="s">
        <v>409</v>
      </c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</row>
    <row r="24" customFormat="false" ht="15" hidden="false" customHeight="false" outlineLevel="0" collapsed="false">
      <c r="A24" s="3" t="s">
        <v>410</v>
      </c>
      <c r="B24" s="2"/>
      <c r="C24" s="2"/>
      <c r="D24" s="2"/>
      <c r="E24" s="2"/>
      <c r="F2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"/>
    <col collapsed="false" customWidth="true" hidden="false" outlineLevel="0" max="5" min="3" style="0" width="12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411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412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0" t="s">
        <v>413</v>
      </c>
      <c r="B4" s="11"/>
      <c r="C4" s="10" t="s">
        <v>414</v>
      </c>
      <c r="D4" s="10" t="s">
        <v>415</v>
      </c>
      <c r="E4" s="10" t="s">
        <v>416</v>
      </c>
      <c r="F4" s="10" t="s">
        <v>417</v>
      </c>
    </row>
    <row r="5" customFormat="false" ht="15" hidden="false" customHeight="false" outlineLevel="0" collapsed="false">
      <c r="A5" s="6" t="s">
        <v>418</v>
      </c>
      <c r="B5" s="2"/>
      <c r="C5" s="49" t="n">
        <f aca="false">Assumptions!$C$11*Assumptions!$C$8+(Assumptions!$C$9+Assumptions!$C$10)</f>
        <v>2680.58</v>
      </c>
      <c r="D5" s="49" t="n">
        <f aca="false">Assumptions!$C$11*Assumptions!$C$8+(Assumptions!$C$9+Assumptions!$C$10)</f>
        <v>2680.58</v>
      </c>
      <c r="E5" s="6" t="str">
        <f aca="false">TEXT((C5-(Assumptions!$C$9+Assumptions!$C$10))/Assumptions!$C$8,"£0.00")&amp;" - "&amp;TEXT((D5-(Assumptions!$C$9+Assumptions!$C$10))/Assumptions!$C$8,"£0.00")</f>
        <v>£20.38 - £20.38</v>
      </c>
      <c r="F5" s="3" t="s">
        <v>419</v>
      </c>
    </row>
    <row r="6" customFormat="false" ht="15" hidden="false" customHeight="false" outlineLevel="0" collapsed="false">
      <c r="A6" s="6" t="s">
        <v>420</v>
      </c>
      <c r="B6" s="2"/>
      <c r="C6" s="49" t="n">
        <f aca="false">MIN(DCF!C37:E41)</f>
        <v>2383.12703524497</v>
      </c>
      <c r="D6" s="49" t="n">
        <f aca="false">MAX(DCF!C37:E41)</f>
        <v>3703.07447554721</v>
      </c>
      <c r="E6" s="6" t="str">
        <f aca="false">TEXT((C6-(Assumptions!$C$9+Assumptions!$C$10))/Assumptions!$C$8,"£0.00")&amp;" - "&amp;TEXT((D6-(Assumptions!$C$9+Assumptions!$C$10))/Assumptions!$C$8,"£0.00")</f>
        <v>£17.43 - £30.50</v>
      </c>
      <c r="F6" s="3" t="s">
        <v>421</v>
      </c>
    </row>
    <row r="7" customFormat="false" ht="15" hidden="false" customHeight="false" outlineLevel="0" collapsed="false">
      <c r="A7" s="6" t="s">
        <v>422</v>
      </c>
      <c r="B7" s="2"/>
      <c r="C7" s="49" t="n">
        <f aca="false">Comps!B17*Model!C12</f>
        <v>3322.704</v>
      </c>
      <c r="D7" s="49" t="n">
        <f aca="false">Comps!D17*Model!C12</f>
        <v>3850.231</v>
      </c>
      <c r="E7" s="6" t="str">
        <f aca="false">TEXT((C7-(Assumptions!$C$9+Assumptions!$C$10))/Assumptions!$C$8,"£0.00")&amp;" - "&amp;TEXT((D7-(Assumptions!$C$9+Assumptions!$C$10))/Assumptions!$C$8,"£0.00")</f>
        <v>£26.74 - £31.96</v>
      </c>
      <c r="F7" s="3" t="s">
        <v>423</v>
      </c>
    </row>
    <row r="8" customFormat="false" ht="15" hidden="false" customHeight="false" outlineLevel="0" collapsed="false">
      <c r="A8" s="6" t="s">
        <v>424</v>
      </c>
      <c r="B8" s="2"/>
      <c r="C8" s="49" t="n">
        <f aca="false">LBO!D68</f>
        <v>3767.00746577582</v>
      </c>
      <c r="D8" s="49" t="n">
        <f aca="false">LBO!C68</f>
        <v>4338.25333222081</v>
      </c>
      <c r="E8" s="6" t="str">
        <f aca="false">TEXT((C8-(Assumptions!$C$9+Assumptions!$C$10))/Assumptions!$C$8,"£0.00")&amp;" - "&amp;TEXT((D8-(Assumptions!$C$9+Assumptions!$C$10))/Assumptions!$C$8,"£0.00")</f>
        <v>£31.14 - £36.79</v>
      </c>
      <c r="F8" s="3" t="s">
        <v>425</v>
      </c>
    </row>
    <row r="9" customFormat="false" ht="15" hidden="false" customHeight="false" outlineLevel="0" collapsed="false">
      <c r="A9" s="6" t="s">
        <v>426</v>
      </c>
      <c r="B9" s="2"/>
      <c r="C9" s="49" t="n">
        <f aca="false">Comps!B18*Model!C12</f>
        <v>4776.387</v>
      </c>
      <c r="D9" s="49" t="n">
        <f aca="false">Comps!D18*Model!C12</f>
        <v>5478.165</v>
      </c>
      <c r="E9" s="6" t="str">
        <f aca="false">TEXT((C9-(Assumptions!$C$9+Assumptions!$C$10))/Assumptions!$C$8,"£0.00")&amp;" - "&amp;TEXT((D9-(Assumptions!$C$9+Assumptions!$C$10))/Assumptions!$C$8,"£0.00")</f>
        <v>£41.13 - £48.08</v>
      </c>
      <c r="F9" s="3" t="s">
        <v>423</v>
      </c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</row>
    <row r="11" customFormat="false" ht="15" hidden="false" customHeight="false" outlineLevel="0" collapsed="false">
      <c r="A11" s="4" t="s">
        <v>427</v>
      </c>
      <c r="B11" s="2"/>
      <c r="C11" s="2"/>
      <c r="D11" s="4" t="s">
        <v>360</v>
      </c>
      <c r="E11" s="2"/>
      <c r="F11" s="2"/>
    </row>
    <row r="12" customFormat="false" ht="15" hidden="false" customHeight="false" outlineLevel="0" collapsed="false">
      <c r="A12" s="6" t="s">
        <v>428</v>
      </c>
      <c r="B12" s="2"/>
      <c r="C12" s="49" t="n">
        <f aca="false">Assumptions!$C$12*Assumptions!$C$8+(Assumptions!$C$9+Assumptions!$C$10)</f>
        <v>4422.83</v>
      </c>
      <c r="D12" s="32" t="n">
        <f aca="false">C12/Model!$C$12</f>
        <v>18.5288227901131</v>
      </c>
      <c r="E12" s="2"/>
      <c r="F12" s="2"/>
    </row>
    <row r="13" customFormat="false" ht="15" hidden="false" customHeight="false" outlineLevel="0" collapsed="false">
      <c r="A13" s="6" t="s">
        <v>429</v>
      </c>
      <c r="B13" s="2"/>
      <c r="C13" s="49" t="n">
        <f aca="false">Assumptions!$C$13*Assumptions!$C$8+(Assumptions!$C$9+Assumptions!$C$10)</f>
        <v>4662.2</v>
      </c>
      <c r="D13" s="32" t="n">
        <f aca="false">C13/Model!$C$12</f>
        <v>19.5316296606619</v>
      </c>
      <c r="E13" s="2"/>
      <c r="F13" s="2"/>
    </row>
    <row r="14" customFormat="false" ht="15" hidden="false" customHeight="false" outlineLevel="0" collapsed="false">
      <c r="A14" s="6" t="s">
        <v>430</v>
      </c>
      <c r="B14" s="2"/>
      <c r="C14" s="49" t="n">
        <f aca="false">Assumptions!$C$14*Assumptions!$C$8+(Assumptions!$C$9+Assumptions!$C$10)</f>
        <v>4763.2</v>
      </c>
      <c r="D14" s="32" t="n">
        <f aca="false">C14/Model!$C$12</f>
        <v>19.9547549224968</v>
      </c>
      <c r="E14" s="2"/>
      <c r="F14" s="2"/>
    </row>
    <row r="15" customFormat="false" ht="15" hidden="false" customHeight="false" outlineLevel="0" collapsed="false">
      <c r="A15" s="6" t="s">
        <v>431</v>
      </c>
      <c r="B15" s="2"/>
      <c r="C15" s="49" t="n">
        <f aca="false">Assumptions!$C$6*Assumptions!$C$8+(Assumptions!$C$9+Assumptions!$C$10)</f>
        <v>4838.95</v>
      </c>
      <c r="D15" s="32" t="n">
        <f aca="false">C15/Model!$C$12</f>
        <v>20.2720988688731</v>
      </c>
      <c r="E15" s="2"/>
      <c r="F1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2026-10-06T12:06:02Z</dcterms:created>
  <dc:creator>Muhammad Atif Ul Haq</dc:creator>
  <dc:description/>
  <dc:language>en-US</dc:language>
  <cp:lastModifiedBy>Muhammad Atif Ul Haq</cp:lastModifiedBy>
  <dcterms:modified xsi:type="dcterms:W3CDTF">2026-10-06T12:06:02Z</dcterms:modified>
  <cp:revision>0</cp:revision>
  <dc:subject/>
  <dc:title>Spectris take-private case study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